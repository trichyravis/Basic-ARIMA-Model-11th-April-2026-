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trichyravis/Library/Mobile Documents/com~apple~CloudDocs/01. Ravis Academics/16. BITs Hyderabad/0A. Courses/04. Financial Analytics/0M. Materaislf for Sessions/02. ARIMA Modelling/"/>
    </mc:Choice>
  </mc:AlternateContent>
  <xr:revisionPtr revIDLastSave="0" documentId="13_ncr:1_{DB186BA7-9182-AE4C-81EC-C5D0159F337A}" xr6:coauthVersionLast="47" xr6:coauthVersionMax="47" xr10:uidLastSave="{00000000-0000-0000-0000-000000000000}"/>
  <bookViews>
    <workbookView xWindow="0" yWindow="500" windowWidth="33600" windowHeight="19420" xr2:uid="{E971F1BA-82ED-ED41-A46F-24BC82466E1E}"/>
  </bookViews>
  <sheets>
    <sheet name="TOC" sheetId="1" r:id="rId1"/>
    <sheet name="ARIMA Basics" sheetId="2" r:id="rId2"/>
    <sheet name="Illustration 1" sheetId="3" r:id="rId3"/>
    <sheet name="Illustration 2" sheetId="4" r:id="rId4"/>
    <sheet name="Illustration 3" sheetId="5" r:id="rId5"/>
    <sheet name="Limitations" sheetId="6" r:id="rId6"/>
    <sheet name="Q&amp;A" sheetId="7" r:id="rId7"/>
    <sheet name="Case Study 1" sheetId="8" r:id="rId8"/>
    <sheet name="Case Study 2" sheetId="9" r:id="rId9"/>
    <sheet name="Solver Demo" sheetId="10" r:id="rId10"/>
    <sheet name="Stationarity Check" sheetId="11" r:id="rId11"/>
    <sheet name="Forecsting StockPrices" sheetId="12" r:id="rId12"/>
  </sheets>
  <definedNames>
    <definedName name="solver_adj" localSheetId="11" hidden="1">'Forecsting StockPrices'!$H$6:$H$8</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'Forecsting StockPrices'!$H$7</definedName>
    <definedName name="solver_lhs2" localSheetId="11" hidden="1">'Forecsting StockPrices'!$H$7</definedName>
    <definedName name="solver_lhs3" localSheetId="11" hidden="1">'Forecsting StockPrices'!$H$8</definedName>
    <definedName name="solver_lhs4" localSheetId="11" hidden="1">'Forecsting StockPrices'!$H$8</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4</definedName>
    <definedName name="solver_opt" localSheetId="11" hidden="1">'Forecsting StockPrices'!$G$9</definedName>
    <definedName name="solver_pre" localSheetId="11" hidden="1">0.000001</definedName>
    <definedName name="solver_rbv" localSheetId="11" hidden="1">1</definedName>
    <definedName name="solver_rel1" localSheetId="11" hidden="1">1</definedName>
    <definedName name="solver_rel2" localSheetId="11" hidden="1">3</definedName>
    <definedName name="solver_rel3" localSheetId="11" hidden="1">1</definedName>
    <definedName name="solver_rel4" localSheetId="11" hidden="1">3</definedName>
    <definedName name="solver_rhs1" localSheetId="11" hidden="1">1</definedName>
    <definedName name="solver_rhs2" localSheetId="11" hidden="1">-1</definedName>
    <definedName name="solver_rhs3" localSheetId="11" hidden="1">1</definedName>
    <definedName name="solver_rhs4" localSheetId="11" hidden="1">-1</definedName>
    <definedName name="solver_rlx" localSheetId="11" hidden="1">2</definedName>
    <definedName name="solver_rsd" localSheetId="11" hidden="1">0</definedName>
    <definedName name="solver_scl" localSheetId="11" hidden="1">1</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2</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5" l="1"/>
  <c r="E6" i="5"/>
  <c r="E7" i="5"/>
  <c r="C25" i="5"/>
  <c r="D6" i="5"/>
  <c r="D9" i="4"/>
  <c r="D8" i="4"/>
  <c r="E8" i="4"/>
  <c r="E7" i="4"/>
  <c r="D7" i="4"/>
  <c r="C7" i="4"/>
  <c r="B34" i="3"/>
  <c r="B33" i="3"/>
  <c r="B35" i="3"/>
  <c r="E7" i="3"/>
  <c r="D8" i="3"/>
  <c r="D9" i="3"/>
  <c r="D7" i="3"/>
  <c r="B10" i="12" a="1"/>
  <c r="D18" i="12" l="1"/>
  <c r="D19" i="12"/>
  <c r="E12" i="12"/>
  <c r="F12" i="12" s="1"/>
  <c r="G12" i="12" s="1"/>
  <c r="D20" i="12"/>
  <c r="D13" i="12"/>
  <c r="D21" i="12"/>
  <c r="D14" i="12"/>
  <c r="D22" i="12"/>
  <c r="D15" i="12"/>
  <c r="D23" i="12"/>
  <c r="D16" i="12"/>
  <c r="D12" i="12"/>
  <c r="D17" i="12"/>
  <c r="B10" i="12"/>
  <c r="E8" i="3"/>
  <c r="C7" i="3"/>
  <c r="D29" i="3"/>
  <c r="E29" i="3"/>
  <c r="B43" i="10"/>
  <c r="D22" i="10"/>
  <c r="C22" i="10"/>
  <c r="E22" i="10"/>
  <c r="E21" i="10"/>
  <c r="B51" i="11"/>
  <c r="C52" i="11" s="1"/>
  <c r="B50" i="11"/>
  <c r="E53" i="11" s="1"/>
  <c r="I46" i="11"/>
  <c r="I67" i="11"/>
  <c r="I49" i="11"/>
  <c r="I48" i="11"/>
  <c r="I47" i="11"/>
  <c r="D52" i="11"/>
  <c r="F66" i="11"/>
  <c r="F58" i="11"/>
  <c r="F54" i="11"/>
  <c r="E70" i="11"/>
  <c r="E62" i="11"/>
  <c r="E54" i="11"/>
  <c r="C71" i="11"/>
  <c r="C67" i="11"/>
  <c r="C66" i="11"/>
  <c r="C63" i="11"/>
  <c r="C58" i="11"/>
  <c r="C51" i="11"/>
  <c r="B72" i="11"/>
  <c r="A72" i="11"/>
  <c r="B71" i="11"/>
  <c r="C72" i="11" s="1"/>
  <c r="A71" i="11"/>
  <c r="B70" i="11"/>
  <c r="D72" i="11" s="1"/>
  <c r="A70" i="11"/>
  <c r="B69" i="11"/>
  <c r="C70" i="11" s="1"/>
  <c r="A69" i="11"/>
  <c r="B68" i="11"/>
  <c r="E71" i="11" s="1"/>
  <c r="A68" i="11"/>
  <c r="B67" i="11"/>
  <c r="F71" i="11" s="1"/>
  <c r="A67" i="11"/>
  <c r="B66" i="11"/>
  <c r="D68" i="11" s="1"/>
  <c r="A66" i="11"/>
  <c r="B65" i="11"/>
  <c r="D67" i="11" s="1"/>
  <c r="A65" i="11"/>
  <c r="B64" i="11"/>
  <c r="F68" i="11" s="1"/>
  <c r="A64" i="11"/>
  <c r="B63" i="11"/>
  <c r="E66" i="11" s="1"/>
  <c r="A63" i="11"/>
  <c r="B62" i="11"/>
  <c r="E65" i="11" s="1"/>
  <c r="A62" i="11"/>
  <c r="B61" i="11"/>
  <c r="C62" i="11" s="1"/>
  <c r="A61" i="11"/>
  <c r="B60" i="11"/>
  <c r="D62" i="11" s="1"/>
  <c r="A60" i="11"/>
  <c r="B59" i="11"/>
  <c r="F63" i="11" s="1"/>
  <c r="A59" i="11"/>
  <c r="B58" i="11"/>
  <c r="F62" i="11" s="1"/>
  <c r="A58" i="11"/>
  <c r="B57" i="11"/>
  <c r="D59" i="11" s="1"/>
  <c r="A57" i="11"/>
  <c r="B56" i="11"/>
  <c r="F60" i="11" s="1"/>
  <c r="A56" i="11"/>
  <c r="B55" i="11"/>
  <c r="E58" i="11" s="1"/>
  <c r="A55" i="11"/>
  <c r="B54" i="11"/>
  <c r="E57" i="11" s="1"/>
  <c r="A54" i="11"/>
  <c r="B53" i="11"/>
  <c r="C54" i="11" s="1"/>
  <c r="A53" i="11"/>
  <c r="B52" i="11"/>
  <c r="E55" i="11" s="1"/>
  <c r="A52" i="11"/>
  <c r="D53" i="11"/>
  <c r="A51" i="11"/>
  <c r="A50" i="11"/>
  <c r="F19" i="11"/>
  <c r="E19" i="11"/>
  <c r="E20" i="11"/>
  <c r="E21" i="11"/>
  <c r="E22" i="11"/>
  <c r="E23" i="11"/>
  <c r="E24" i="11"/>
  <c r="E25" i="11"/>
  <c r="E26" i="11"/>
  <c r="E27" i="11"/>
  <c r="E28" i="11"/>
  <c r="E29" i="11"/>
  <c r="E30" i="11"/>
  <c r="E31" i="11"/>
  <c r="E32" i="11"/>
  <c r="E33" i="11"/>
  <c r="E34" i="11"/>
  <c r="E43" i="11"/>
  <c r="E44" i="11"/>
  <c r="E45" i="11"/>
  <c r="E46" i="11"/>
  <c r="E18" i="11"/>
  <c r="D17" i="11"/>
  <c r="F46" i="11"/>
  <c r="F45" i="11"/>
  <c r="F44" i="11"/>
  <c r="F43" i="11"/>
  <c r="F34" i="11"/>
  <c r="F33" i="11"/>
  <c r="F32" i="11"/>
  <c r="F31" i="11"/>
  <c r="F30" i="11"/>
  <c r="F29" i="11"/>
  <c r="F28" i="11"/>
  <c r="F27" i="11"/>
  <c r="F26" i="11"/>
  <c r="F25" i="11"/>
  <c r="F24" i="11"/>
  <c r="F23" i="11"/>
  <c r="F22" i="11"/>
  <c r="F21" i="11"/>
  <c r="F20" i="11"/>
  <c r="D46" i="11"/>
  <c r="D45" i="11"/>
  <c r="D44" i="11"/>
  <c r="D43" i="11"/>
  <c r="D34" i="11"/>
  <c r="D33" i="11"/>
  <c r="D32" i="11"/>
  <c r="D31" i="11"/>
  <c r="D30" i="11"/>
  <c r="D29" i="11"/>
  <c r="D28" i="11"/>
  <c r="D27" i="11"/>
  <c r="D26" i="11"/>
  <c r="D25" i="11"/>
  <c r="D24" i="11"/>
  <c r="D23" i="11"/>
  <c r="D22" i="11"/>
  <c r="D21" i="11"/>
  <c r="D20" i="11"/>
  <c r="D19" i="11"/>
  <c r="D18" i="11"/>
  <c r="C46" i="11"/>
  <c r="C45" i="11"/>
  <c r="C44" i="11"/>
  <c r="C43" i="11"/>
  <c r="C34" i="11"/>
  <c r="C33" i="11"/>
  <c r="C32" i="11"/>
  <c r="C31" i="11"/>
  <c r="C30" i="11"/>
  <c r="C29" i="11"/>
  <c r="C28" i="11"/>
  <c r="C27" i="11"/>
  <c r="C26" i="11"/>
  <c r="C25" i="11"/>
  <c r="C24" i="11"/>
  <c r="C23" i="11"/>
  <c r="C22" i="11"/>
  <c r="C21" i="11"/>
  <c r="C20" i="11"/>
  <c r="C19" i="11"/>
  <c r="I16" i="11" s="1"/>
  <c r="I50" i="11" s="1"/>
  <c r="C18" i="11"/>
  <c r="C17" i="11"/>
  <c r="C16" i="11"/>
  <c r="C51" i="10"/>
  <c r="G21" i="10"/>
  <c r="C53" i="10"/>
  <c r="C52" i="10"/>
  <c r="F21" i="10"/>
  <c r="C39" i="10"/>
  <c r="C38" i="10"/>
  <c r="C37" i="10"/>
  <c r="C36" i="10"/>
  <c r="C35" i="10"/>
  <c r="C34" i="10"/>
  <c r="C33" i="10"/>
  <c r="C32" i="10"/>
  <c r="C31" i="10"/>
  <c r="C30" i="10"/>
  <c r="C29" i="10"/>
  <c r="C28" i="10"/>
  <c r="C27" i="10"/>
  <c r="C26" i="10"/>
  <c r="C25" i="10"/>
  <c r="C24" i="10"/>
  <c r="C23" i="10"/>
  <c r="C21" i="10"/>
  <c r="F22" i="10" s="1"/>
  <c r="L20" i="8"/>
  <c r="C52" i="9"/>
  <c r="D52" i="9" s="1"/>
  <c r="I14" i="9"/>
  <c r="J13" i="9" s="1"/>
  <c r="I13" i="9"/>
  <c r="C14" i="9"/>
  <c r="E14" i="9"/>
  <c r="C63" i="9"/>
  <c r="B63" i="9"/>
  <c r="D63" i="9" s="1"/>
  <c r="C62" i="9"/>
  <c r="D62" i="9" s="1"/>
  <c r="B62" i="9"/>
  <c r="C61" i="9"/>
  <c r="B61" i="9"/>
  <c r="D61" i="9" s="1"/>
  <c r="C60" i="9"/>
  <c r="B60" i="9"/>
  <c r="D60" i="9" s="1"/>
  <c r="D59" i="9"/>
  <c r="C59" i="9"/>
  <c r="B59" i="9"/>
  <c r="C58" i="9"/>
  <c r="D58" i="9" s="1"/>
  <c r="B58" i="9"/>
  <c r="C57" i="9"/>
  <c r="B57" i="9"/>
  <c r="D57" i="9" s="1"/>
  <c r="C56" i="9"/>
  <c r="B56" i="9"/>
  <c r="D56" i="9" s="1"/>
  <c r="C55" i="9"/>
  <c r="B55" i="9"/>
  <c r="D55" i="9" s="1"/>
  <c r="C54" i="9"/>
  <c r="D54" i="9" s="1"/>
  <c r="B54" i="9"/>
  <c r="C53" i="9"/>
  <c r="B53" i="9"/>
  <c r="D53" i="9" s="1"/>
  <c r="B52" i="9"/>
  <c r="I24" i="9"/>
  <c r="I23" i="9"/>
  <c r="I22" i="9"/>
  <c r="I21" i="9"/>
  <c r="I20" i="9"/>
  <c r="I19" i="9"/>
  <c r="I18" i="9"/>
  <c r="I17" i="9"/>
  <c r="I16" i="9"/>
  <c r="I15" i="9"/>
  <c r="F48" i="9"/>
  <c r="F47" i="9"/>
  <c r="F46" i="9"/>
  <c r="F45" i="9"/>
  <c r="F44" i="9"/>
  <c r="F43" i="9"/>
  <c r="F42" i="9"/>
  <c r="F41" i="9"/>
  <c r="F40" i="9"/>
  <c r="F39" i="9"/>
  <c r="F38" i="9"/>
  <c r="F37" i="9"/>
  <c r="F36" i="9"/>
  <c r="F35" i="9"/>
  <c r="F34" i="9"/>
  <c r="F33" i="9"/>
  <c r="F32" i="9"/>
  <c r="F31" i="9"/>
  <c r="F30" i="9"/>
  <c r="F29" i="9"/>
  <c r="F28" i="9"/>
  <c r="F27" i="9"/>
  <c r="F26" i="9"/>
  <c r="F25" i="9"/>
  <c r="D48" i="9"/>
  <c r="D47" i="9"/>
  <c r="D46" i="9"/>
  <c r="D45" i="9"/>
  <c r="D44" i="9"/>
  <c r="D43" i="9"/>
  <c r="D42" i="9"/>
  <c r="D41" i="9"/>
  <c r="D40" i="9"/>
  <c r="D39" i="9"/>
  <c r="D38" i="9"/>
  <c r="D37" i="9"/>
  <c r="D36" i="9"/>
  <c r="D35" i="9"/>
  <c r="D34" i="9"/>
  <c r="D33" i="9"/>
  <c r="D32" i="9"/>
  <c r="D31" i="9"/>
  <c r="D30" i="9"/>
  <c r="D29" i="9"/>
  <c r="D28" i="9"/>
  <c r="D27" i="9"/>
  <c r="D26" i="9"/>
  <c r="D25"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J20" i="8"/>
  <c r="M20" i="8" s="1"/>
  <c r="E13" i="8"/>
  <c r="E44" i="8" s="1"/>
  <c r="J48" i="8"/>
  <c r="I48" i="8"/>
  <c r="J47" i="8"/>
  <c r="I47" i="8"/>
  <c r="J46" i="8"/>
  <c r="I46" i="8"/>
  <c r="J45" i="8"/>
  <c r="I45" i="8"/>
  <c r="J44" i="8"/>
  <c r="I44" i="8"/>
  <c r="J43" i="8"/>
  <c r="I43" i="8"/>
  <c r="J42" i="8"/>
  <c r="I42" i="8"/>
  <c r="J41" i="8"/>
  <c r="I41" i="8"/>
  <c r="J40" i="8"/>
  <c r="I40" i="8"/>
  <c r="J39" i="8"/>
  <c r="I39" i="8"/>
  <c r="J38" i="8"/>
  <c r="I38" i="8"/>
  <c r="J37" i="8"/>
  <c r="I37" i="8"/>
  <c r="J36" i="8"/>
  <c r="I36" i="8"/>
  <c r="J35" i="8"/>
  <c r="I35" i="8"/>
  <c r="J34" i="8"/>
  <c r="I34" i="8"/>
  <c r="J33" i="8"/>
  <c r="I33" i="8"/>
  <c r="J32" i="8"/>
  <c r="I32" i="8"/>
  <c r="J31" i="8"/>
  <c r="I31" i="8"/>
  <c r="J30" i="8"/>
  <c r="I30" i="8"/>
  <c r="J29" i="8"/>
  <c r="I29" i="8"/>
  <c r="J28" i="8"/>
  <c r="I28" i="8"/>
  <c r="J27" i="8"/>
  <c r="I27" i="8"/>
  <c r="J26" i="8"/>
  <c r="I26" i="8"/>
  <c r="J25" i="8"/>
  <c r="I25" i="8"/>
  <c r="J24" i="8"/>
  <c r="I24" i="8"/>
  <c r="J23" i="8"/>
  <c r="I23" i="8"/>
  <c r="J22" i="8"/>
  <c r="I22" i="8"/>
  <c r="J21" i="8"/>
  <c r="I21" i="8"/>
  <c r="I20"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D13" i="8"/>
  <c r="I6" i="5"/>
  <c r="F20" i="5"/>
  <c r="F19" i="5"/>
  <c r="F18" i="5"/>
  <c r="F17" i="5"/>
  <c r="F16" i="5"/>
  <c r="F15" i="5"/>
  <c r="F14" i="5"/>
  <c r="F13" i="5"/>
  <c r="F12" i="5"/>
  <c r="F11" i="5"/>
  <c r="F10" i="5"/>
  <c r="F9" i="5"/>
  <c r="I9" i="5"/>
  <c r="J9" i="5" s="1"/>
  <c r="I8" i="5"/>
  <c r="I7" i="5"/>
  <c r="J6" i="5" s="1"/>
  <c r="D25" i="4"/>
  <c r="E25" i="4" s="1"/>
  <c r="C25" i="4"/>
  <c r="D24" i="4"/>
  <c r="E24" i="4" s="1"/>
  <c r="C24" i="4"/>
  <c r="D23" i="4"/>
  <c r="E23" i="4" s="1"/>
  <c r="C23" i="4"/>
  <c r="D22" i="4"/>
  <c r="E22" i="4" s="1"/>
  <c r="C22" i="4"/>
  <c r="D21" i="4"/>
  <c r="E21" i="4" s="1"/>
  <c r="C21" i="4"/>
  <c r="D20" i="4"/>
  <c r="E20" i="4" s="1"/>
  <c r="C20" i="4"/>
  <c r="D19" i="4"/>
  <c r="E19" i="4" s="1"/>
  <c r="C19" i="4"/>
  <c r="D18" i="4"/>
  <c r="E18" i="4" s="1"/>
  <c r="C18" i="4"/>
  <c r="D17" i="4"/>
  <c r="E17" i="4" s="1"/>
  <c r="C17" i="4"/>
  <c r="D16" i="4"/>
  <c r="E16" i="4" s="1"/>
  <c r="C16" i="4"/>
  <c r="D15" i="4"/>
  <c r="E15" i="4" s="1"/>
  <c r="C15" i="4"/>
  <c r="D14" i="4"/>
  <c r="E14" i="4" s="1"/>
  <c r="C14" i="4"/>
  <c r="D13" i="4"/>
  <c r="E13" i="4" s="1"/>
  <c r="C13" i="4"/>
  <c r="D12" i="4"/>
  <c r="E12" i="4" s="1"/>
  <c r="C12" i="4"/>
  <c r="D11" i="4"/>
  <c r="E11" i="4" s="1"/>
  <c r="C11" i="4"/>
  <c r="D10" i="4"/>
  <c r="E10" i="4" s="1"/>
  <c r="C10" i="4"/>
  <c r="E9" i="4"/>
  <c r="C9" i="4"/>
  <c r="C8" i="4"/>
  <c r="H19" i="4"/>
  <c r="E9" i="3"/>
  <c r="D10" i="3" s="1"/>
  <c r="E10" i="3" s="1"/>
  <c r="D11" i="3" s="1"/>
  <c r="E11" i="3" s="1"/>
  <c r="D12" i="3" s="1"/>
  <c r="E12" i="3" s="1"/>
  <c r="D13" i="3" s="1"/>
  <c r="E13" i="3" s="1"/>
  <c r="D14" i="3" s="1"/>
  <c r="E14" i="3" s="1"/>
  <c r="D15" i="3" s="1"/>
  <c r="E15" i="3" s="1"/>
  <c r="D16" i="3" s="1"/>
  <c r="E16" i="3" s="1"/>
  <c r="D17" i="3" s="1"/>
  <c r="E17" i="3" s="1"/>
  <c r="D18" i="3" s="1"/>
  <c r="E18" i="3" s="1"/>
  <c r="D19" i="3" s="1"/>
  <c r="E19" i="3" s="1"/>
  <c r="D20" i="3" s="1"/>
  <c r="E20" i="3" s="1"/>
  <c r="D21" i="3" s="1"/>
  <c r="E21" i="3" s="1"/>
  <c r="D22" i="3" s="1"/>
  <c r="E22" i="3" s="1"/>
  <c r="D23" i="3" s="1"/>
  <c r="E23" i="3" s="1"/>
  <c r="D24" i="3" s="1"/>
  <c r="E24" i="3" s="1"/>
  <c r="D25" i="3" s="1"/>
  <c r="E25" i="3" s="1"/>
  <c r="D26" i="3" s="1"/>
  <c r="E26" i="3" s="1"/>
  <c r="D27" i="3" s="1"/>
  <c r="E27" i="3" s="1"/>
  <c r="D28" i="3" s="1"/>
  <c r="E28" i="3" s="1"/>
  <c r="C29" i="3"/>
  <c r="C28" i="3"/>
  <c r="C27" i="3"/>
  <c r="C26" i="3"/>
  <c r="C25" i="3"/>
  <c r="C24" i="3"/>
  <c r="C23" i="3"/>
  <c r="C22" i="3"/>
  <c r="C21" i="3"/>
  <c r="C20" i="3"/>
  <c r="C19" i="3"/>
  <c r="C18" i="3"/>
  <c r="C17" i="3"/>
  <c r="C16" i="3"/>
  <c r="C15" i="3"/>
  <c r="C14" i="3"/>
  <c r="C13" i="3"/>
  <c r="C12" i="3"/>
  <c r="C11" i="3"/>
  <c r="C10" i="3"/>
  <c r="C9" i="3"/>
  <c r="C8" i="3"/>
  <c r="E13" i="12" l="1"/>
  <c r="F13" i="12" s="1"/>
  <c r="G13" i="12" s="1"/>
  <c r="E14" i="12"/>
  <c r="F14" i="12" s="1"/>
  <c r="H17" i="4"/>
  <c r="H18" i="4"/>
  <c r="F7" i="4" a="1"/>
  <c r="F7" i="4" s="1"/>
  <c r="I18" i="4" s="1"/>
  <c r="D14" i="5"/>
  <c r="E14" i="5" s="1"/>
  <c r="D10" i="5"/>
  <c r="E10" i="5" s="1"/>
  <c r="D18" i="5"/>
  <c r="E18" i="5" s="1"/>
  <c r="D17" i="5"/>
  <c r="E17" i="5" s="1"/>
  <c r="D13" i="5"/>
  <c r="E13" i="5" s="1"/>
  <c r="D21" i="5"/>
  <c r="E21" i="5" s="1"/>
  <c r="B36" i="3"/>
  <c r="B37" i="3" s="1"/>
  <c r="B38" i="3" s="1"/>
  <c r="I19" i="11"/>
  <c r="D60" i="11"/>
  <c r="I18" i="11"/>
  <c r="C55" i="11"/>
  <c r="E61" i="11"/>
  <c r="F67" i="11"/>
  <c r="D65" i="11"/>
  <c r="K21" i="8"/>
  <c r="C59" i="11"/>
  <c r="E69" i="11"/>
  <c r="D71" i="11"/>
  <c r="J7" i="5"/>
  <c r="J8" i="5"/>
  <c r="D8" i="5" s="1"/>
  <c r="E8" i="5" s="1"/>
  <c r="M21" i="8"/>
  <c r="K22" i="8" s="1"/>
  <c r="L22" i="8" s="1"/>
  <c r="M22" i="8" s="1"/>
  <c r="E43" i="8"/>
  <c r="I17" i="11"/>
  <c r="L21" i="8"/>
  <c r="F59" i="11"/>
  <c r="D56" i="11"/>
  <c r="D66" i="11"/>
  <c r="J48" i="11"/>
  <c r="D58" i="11"/>
  <c r="E59" i="11"/>
  <c r="E67" i="11"/>
  <c r="F56" i="11"/>
  <c r="F64" i="11"/>
  <c r="F72" i="11"/>
  <c r="D55" i="11"/>
  <c r="D63" i="11"/>
  <c r="D70" i="11"/>
  <c r="C56" i="11"/>
  <c r="C64" i="11"/>
  <c r="E60" i="11"/>
  <c r="E68" i="11"/>
  <c r="F57" i="11"/>
  <c r="F65" i="11"/>
  <c r="J47" i="11"/>
  <c r="D57" i="11"/>
  <c r="I29" i="11" s="1"/>
  <c r="D64" i="11"/>
  <c r="C57" i="11"/>
  <c r="E63" i="11"/>
  <c r="C60" i="11"/>
  <c r="C68" i="11"/>
  <c r="E56" i="11"/>
  <c r="E64" i="11"/>
  <c r="E72" i="11"/>
  <c r="F61" i="11"/>
  <c r="F69" i="11"/>
  <c r="J49" i="11"/>
  <c r="D69" i="11"/>
  <c r="J46" i="11"/>
  <c r="C53" i="11"/>
  <c r="I28" i="11" s="1"/>
  <c r="J50" i="11" s="1"/>
  <c r="C61" i="11"/>
  <c r="C69" i="11"/>
  <c r="F70" i="11"/>
  <c r="D54" i="11"/>
  <c r="D61" i="11"/>
  <c r="C65" i="11"/>
  <c r="F55" i="11"/>
  <c r="D23" i="10"/>
  <c r="E23" i="10" s="1"/>
  <c r="F23" i="10" s="1"/>
  <c r="G22" i="10"/>
  <c r="J23" i="9"/>
  <c r="J16" i="9"/>
  <c r="J24" i="9"/>
  <c r="J17" i="9"/>
  <c r="J21" i="9"/>
  <c r="J22" i="9"/>
  <c r="J18" i="9"/>
  <c r="J19" i="9"/>
  <c r="J20" i="9"/>
  <c r="J14" i="9"/>
  <c r="J15" i="9"/>
  <c r="C28" i="5"/>
  <c r="D11" i="5"/>
  <c r="E11" i="5" s="1"/>
  <c r="D12" i="5"/>
  <c r="E12" i="5" s="1"/>
  <c r="D9" i="5"/>
  <c r="E9" i="5" s="1"/>
  <c r="C26" i="5"/>
  <c r="E15" i="12" l="1"/>
  <c r="F15" i="12" s="1"/>
  <c r="G14" i="12"/>
  <c r="K23" i="8"/>
  <c r="L23" i="8" s="1"/>
  <c r="M23" i="8" s="1"/>
  <c r="K24" i="8" s="1"/>
  <c r="L24" i="8" s="1"/>
  <c r="M24" i="8" s="1"/>
  <c r="K25" i="8" s="1"/>
  <c r="L25" i="8" s="1"/>
  <c r="M25" i="8" s="1"/>
  <c r="K26" i="8" s="1"/>
  <c r="L26" i="8" s="1"/>
  <c r="M26" i="8" s="1"/>
  <c r="K27" i="8" s="1"/>
  <c r="L27" i="8" s="1"/>
  <c r="M27" i="8" s="1"/>
  <c r="K28" i="8" s="1"/>
  <c r="L28" i="8" s="1"/>
  <c r="M28" i="8" s="1"/>
  <c r="K29" i="8" s="1"/>
  <c r="L29" i="8" s="1"/>
  <c r="M29" i="8" s="1"/>
  <c r="K30" i="8" s="1"/>
  <c r="L30" i="8" s="1"/>
  <c r="M30" i="8" s="1"/>
  <c r="K31" i="8" s="1"/>
  <c r="L31" i="8" s="1"/>
  <c r="M31" i="8" s="1"/>
  <c r="K32" i="8" s="1"/>
  <c r="L32" i="8" s="1"/>
  <c r="M32" i="8" s="1"/>
  <c r="K33" i="8" s="1"/>
  <c r="L33" i="8" s="1"/>
  <c r="M33" i="8" s="1"/>
  <c r="K34" i="8" s="1"/>
  <c r="L34" i="8" s="1"/>
  <c r="M34" i="8" s="1"/>
  <c r="K35" i="8" s="1"/>
  <c r="L35" i="8" s="1"/>
  <c r="M35" i="8" s="1"/>
  <c r="K36" i="8" s="1"/>
  <c r="L36" i="8" s="1"/>
  <c r="M36" i="8" s="1"/>
  <c r="K37" i="8" s="1"/>
  <c r="L37" i="8" s="1"/>
  <c r="M37" i="8" s="1"/>
  <c r="K38" i="8" s="1"/>
  <c r="L38" i="8" s="1"/>
  <c r="M38" i="8" s="1"/>
  <c r="K39" i="8" s="1"/>
  <c r="L39" i="8" s="1"/>
  <c r="M39" i="8" s="1"/>
  <c r="K40" i="8" s="1"/>
  <c r="L40" i="8" s="1"/>
  <c r="M40" i="8" s="1"/>
  <c r="K41" i="8" s="1"/>
  <c r="L41" i="8" s="1"/>
  <c r="M41" i="8" s="1"/>
  <c r="K42" i="8" s="1"/>
  <c r="L42" i="8" s="1"/>
  <c r="M42" i="8" s="1"/>
  <c r="K43" i="8" s="1"/>
  <c r="L43" i="8" s="1"/>
  <c r="M43" i="8" s="1"/>
  <c r="K44" i="8" s="1"/>
  <c r="L44" i="8" s="1"/>
  <c r="M44" i="8" s="1"/>
  <c r="K45" i="8" s="1"/>
  <c r="L45" i="8" s="1"/>
  <c r="M45" i="8" s="1"/>
  <c r="K46" i="8" s="1"/>
  <c r="L46" i="8" s="1"/>
  <c r="M46" i="8" s="1"/>
  <c r="K47" i="8" s="1"/>
  <c r="L47" i="8" s="1"/>
  <c r="M47" i="8" s="1"/>
  <c r="K48" i="8" s="1"/>
  <c r="L48" i="8" s="1"/>
  <c r="M48" i="8" s="1"/>
  <c r="C49" i="8" s="1"/>
  <c r="B49" i="8" s="1"/>
  <c r="I30" i="11"/>
  <c r="D15" i="5"/>
  <c r="E15" i="5" s="1"/>
  <c r="D7" i="5"/>
  <c r="D20" i="5"/>
  <c r="E20" i="5" s="1"/>
  <c r="C27" i="5"/>
  <c r="D19" i="5"/>
  <c r="E19" i="5" s="1"/>
  <c r="D16" i="5"/>
  <c r="E16" i="5" s="1"/>
  <c r="I31" i="11"/>
  <c r="G23" i="10"/>
  <c r="D24" i="10"/>
  <c r="E24" i="10" s="1"/>
  <c r="F24" i="10" s="1"/>
  <c r="E16" i="12" l="1"/>
  <c r="F16" i="12" s="1"/>
  <c r="G15" i="12"/>
  <c r="B56" i="8"/>
  <c r="B58" i="8"/>
  <c r="C50" i="8"/>
  <c r="B50" i="8"/>
  <c r="B57" i="8"/>
  <c r="D25" i="10"/>
  <c r="E25" i="10" s="1"/>
  <c r="F25" i="10" s="1"/>
  <c r="G24" i="10"/>
  <c r="E17" i="12" l="1"/>
  <c r="F17" i="12" s="1"/>
  <c r="G16" i="12"/>
  <c r="C51" i="8"/>
  <c r="B51" i="8" s="1"/>
  <c r="G25" i="10"/>
  <c r="D26" i="10"/>
  <c r="E26" i="10" s="1"/>
  <c r="F26" i="10" s="1"/>
  <c r="E18" i="12" l="1"/>
  <c r="F18" i="12" s="1"/>
  <c r="G17" i="12"/>
  <c r="C52" i="8"/>
  <c r="B52" i="8"/>
  <c r="D27" i="10"/>
  <c r="E27" i="10" s="1"/>
  <c r="F27" i="10" s="1"/>
  <c r="G26" i="10"/>
  <c r="E19" i="12" l="1"/>
  <c r="F19" i="12" s="1"/>
  <c r="G18" i="12"/>
  <c r="G27" i="10"/>
  <c r="D28" i="10"/>
  <c r="E28" i="10" s="1"/>
  <c r="F28" i="10" s="1"/>
  <c r="E20" i="12" l="1"/>
  <c r="F20" i="12" s="1"/>
  <c r="G19" i="12"/>
  <c r="D29" i="10"/>
  <c r="E29" i="10" s="1"/>
  <c r="F29" i="10" s="1"/>
  <c r="G28" i="10"/>
  <c r="E21" i="12" l="1"/>
  <c r="F21" i="12" s="1"/>
  <c r="G20" i="12"/>
  <c r="G29" i="10"/>
  <c r="D30" i="10"/>
  <c r="E30" i="10" s="1"/>
  <c r="F30" i="10" s="1"/>
  <c r="E22" i="12" l="1"/>
  <c r="F22" i="12" s="1"/>
  <c r="G21" i="12"/>
  <c r="D31" i="10"/>
  <c r="E31" i="10" s="1"/>
  <c r="F31" i="10" s="1"/>
  <c r="G30" i="10"/>
  <c r="E23" i="12" l="1"/>
  <c r="F23" i="12" s="1"/>
  <c r="G22" i="12"/>
  <c r="G31" i="10"/>
  <c r="D32" i="10"/>
  <c r="E32" i="10" s="1"/>
  <c r="F32" i="10" s="1"/>
  <c r="D33" i="10" s="1"/>
  <c r="G23" i="12" l="1"/>
  <c r="C24" i="12"/>
  <c r="G9" i="12"/>
  <c r="E33" i="10"/>
  <c r="F33" i="10" s="1"/>
  <c r="D34" i="10" s="1"/>
  <c r="G32" i="10"/>
  <c r="D24" i="12" l="1"/>
  <c r="C25" i="12"/>
  <c r="G33" i="10"/>
  <c r="E34" i="10"/>
  <c r="F34" i="10" s="1"/>
  <c r="D35" i="10" s="1"/>
  <c r="D25" i="12" l="1"/>
  <c r="C26" i="12" s="1"/>
  <c r="G34" i="10"/>
  <c r="E35" i="10"/>
  <c r="F35" i="10" s="1"/>
  <c r="D36" i="10" s="1"/>
  <c r="D26" i="12" l="1"/>
  <c r="C27" i="12" s="1"/>
  <c r="D27" i="12" s="1"/>
  <c r="G35" i="10"/>
  <c r="E36" i="10"/>
  <c r="F36" i="10" s="1"/>
  <c r="D37" i="10" s="1"/>
  <c r="E37" i="10" l="1"/>
  <c r="F37" i="10" s="1"/>
  <c r="D38" i="10" s="1"/>
  <c r="G36" i="10"/>
  <c r="G37" i="10" l="1"/>
  <c r="E38" i="10"/>
  <c r="F38" i="10" s="1"/>
  <c r="D39" i="10" s="1"/>
  <c r="E39" i="10" l="1"/>
  <c r="F39" i="10" s="1"/>
  <c r="G38" i="10"/>
  <c r="G39" i="10" l="1"/>
  <c r="B44" i="10"/>
  <c r="B45" i="10" l="1"/>
  <c r="B46" i="10" s="1"/>
  <c r="C56" i="10" s="1"/>
  <c r="C55"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I6" authorId="0" shapeId="0" xr:uid="{3FF94260-7ABE-5C44-8747-ED8614ED29F7}">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 ref="I7" authorId="0" shapeId="0" xr:uid="{E33EA9AD-A558-2D45-8660-7DB22C803B6F}">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 ref="I8" authorId="0" shapeId="0" xr:uid="{01B2DD66-476F-F14B-8155-125E19313346}">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C25" authorId="0" shapeId="0" xr:uid="{C7978DD8-C50E-C346-8324-0EFC60BD2E1A}">
      <text>
        <r>
          <rPr>
            <b/>
            <sz val="10"/>
            <color rgb="FF000000"/>
            <rFont val="Tahoma"/>
            <family val="2"/>
          </rPr>
          <t>Ravichandran Vaidyanathan:</t>
        </r>
        <r>
          <rPr>
            <sz val="10"/>
            <color rgb="FF000000"/>
            <rFont val="Tahoma"/>
            <family val="2"/>
          </rPr>
          <t xml:space="preserve">
Seasonal naive + trend: Last year same quarter + YoY growth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K6" authorId="0" shapeId="0" xr:uid="{1BF0CD09-C1E0-7646-ADD0-2E770D483AD4}">
      <text>
        <r>
          <rPr>
            <b/>
            <sz val="10"/>
            <color rgb="FF000000"/>
            <rFont val="Tahoma"/>
            <family val="2"/>
          </rPr>
          <t>Ravichandran Vaidyanathan:</t>
        </r>
        <r>
          <rPr>
            <sz val="10"/>
            <color rgb="FF000000"/>
            <rFont val="Tahoma"/>
            <family val="2"/>
          </rPr>
          <t xml:space="preserve">
Illustrative value for educational demo. In practice, estimated via maximum likelihood.</t>
        </r>
      </text>
    </comment>
    <comment ref="K7" authorId="0" shapeId="0" xr:uid="{6111D383-79A5-9E4D-ABE7-E2E8DFE42C6D}">
      <text>
        <r>
          <rPr>
            <b/>
            <sz val="10"/>
            <color rgb="FF000000"/>
            <rFont val="Tahoma"/>
            <family val="2"/>
          </rPr>
          <t>Ravichandran Vaidyanathan:</t>
        </r>
        <r>
          <rPr>
            <sz val="10"/>
            <color rgb="FF000000"/>
            <rFont val="Tahoma"/>
            <family val="2"/>
          </rPr>
          <t xml:space="preserve">
Illustrative value. Positive = momentum (if sales rose last week, they tend to rise again).</t>
        </r>
      </text>
    </comment>
    <comment ref="K8" authorId="0" shapeId="0" xr:uid="{5691C8AF-59D6-214D-AE91-15C26A1E2FEC}">
      <text>
        <r>
          <rPr>
            <b/>
            <sz val="10"/>
            <color rgb="FF000000"/>
            <rFont val="Tahoma"/>
            <family val="2"/>
          </rPr>
          <t>Ravichandran Vaidyanathan:</t>
        </r>
        <r>
          <rPr>
            <sz val="10"/>
            <color rgb="FF000000"/>
            <rFont val="Tahoma"/>
            <family val="2"/>
          </rPr>
          <t xml:space="preserve">
Illustrative value. Negative = model corrects for past over-predictions.</t>
        </r>
      </text>
    </comment>
    <comment ref="D10" authorId="0" shapeId="0" xr:uid="{C64EA7C9-7D0A-D746-B768-84257981915E}">
      <text>
        <r>
          <rPr>
            <b/>
            <sz val="10"/>
            <color rgb="FF000000"/>
            <rFont val="Tahoma"/>
            <family val="2"/>
          </rPr>
          <t>Ravichandran Vaidyanathan:</t>
        </r>
        <r>
          <rPr>
            <sz val="10"/>
            <color rgb="FF000000"/>
            <rFont val="Tahoma"/>
            <family val="2"/>
          </rPr>
          <t xml:space="preserve">
Differencing subtracts each value from the previous one to remove the upward trend</t>
        </r>
      </text>
    </comment>
    <comment ref="L20" authorId="0" shapeId="0" xr:uid="{63A2D7B5-EF21-1E46-8C39-63A1EEB5CCB4}">
      <text>
        <r>
          <rPr>
            <b/>
            <sz val="10"/>
            <color rgb="FF000000"/>
            <rFont val="Tahoma"/>
            <family val="2"/>
          </rPr>
          <t>Ravichandran Vaidyanathan:</t>
        </r>
        <r>
          <rPr>
            <sz val="10"/>
            <color rgb="FF000000"/>
            <rFont val="Tahoma"/>
            <family val="2"/>
          </rPr>
          <t xml:space="preserve">
</t>
        </r>
        <r>
          <rPr>
            <sz val="10"/>
            <color rgb="FF000000"/>
            <rFont val="Tahoma"/>
            <family val="2"/>
          </rPr>
          <t>Seed: first fitted value = previous actual (no prior data to use)</t>
        </r>
      </text>
    </comment>
    <comment ref="K21" authorId="0" shapeId="0" xr:uid="{94E3A579-0A9B-0E4D-BF90-004D0E20BA3B}">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C14" authorId="0" shapeId="0" xr:uid="{76EBA1D3-8AFE-8447-9662-E51528D1068D}">
      <text>
        <r>
          <rPr>
            <b/>
            <sz val="10"/>
            <color rgb="FF000000"/>
            <rFont val="Tahoma"/>
            <family val="2"/>
          </rPr>
          <t>Ravichandran Vaidyanathan:</t>
        </r>
        <r>
          <rPr>
            <sz val="10"/>
            <color rgb="FF000000"/>
            <rFont val="Tahoma"/>
            <family val="2"/>
          </rPr>
          <t xml:space="preserve">
</t>
        </r>
        <r>
          <rPr>
            <sz val="10"/>
            <color rgb="FF000000"/>
            <rFont val="Tahoma"/>
            <family val="2"/>
          </rPr>
          <t>CHANGING VARIABLE CELL — Solver will optimise this. Start with an initial guess of 1.</t>
        </r>
      </text>
    </comment>
    <comment ref="C15" authorId="0" shapeId="0" xr:uid="{654BC8EC-222E-C943-9001-0B04D1810ED9}">
      <text>
        <r>
          <rPr>
            <b/>
            <sz val="10"/>
            <color rgb="FF000000"/>
            <rFont val="Tahoma"/>
            <family val="2"/>
          </rPr>
          <t>Ravichandran Vaidyanathan:</t>
        </r>
        <r>
          <rPr>
            <sz val="10"/>
            <color rgb="FF000000"/>
            <rFont val="Tahoma"/>
            <family val="2"/>
          </rPr>
          <t xml:space="preserve">
</t>
        </r>
        <r>
          <rPr>
            <sz val="10"/>
            <color rgb="FF000000"/>
            <rFont val="Tahoma"/>
            <family val="2"/>
          </rPr>
          <t>CHANGING VARIABLE CELL — Solver will optimise this. Constrain between -1 and 1 for stationarity.</t>
        </r>
      </text>
    </comment>
    <comment ref="C16" authorId="0" shapeId="0" xr:uid="{CF590E71-978E-A542-AB45-DB23016C3C2F}">
      <text>
        <r>
          <rPr>
            <b/>
            <sz val="10"/>
            <color rgb="FF000000"/>
            <rFont val="Tahoma"/>
            <family val="2"/>
          </rPr>
          <t>Ravichandran Vaidyanathan:</t>
        </r>
        <r>
          <rPr>
            <sz val="10"/>
            <color rgb="FF000000"/>
            <rFont val="Tahoma"/>
            <family val="2"/>
          </rPr>
          <t xml:space="preserve">
CHANGING VARIABLE CELL — Solver will optimise this. Constrain between -1 and 1 for invertibility.</t>
        </r>
      </text>
    </comment>
    <comment ref="E21" authorId="0" shapeId="0" xr:uid="{70A2155B-D4AA-6640-B359-F6BF76531AAE}">
      <text>
        <r>
          <rPr>
            <b/>
            <sz val="10"/>
            <color rgb="FF000000"/>
            <rFont val="Tahoma"/>
            <family val="2"/>
          </rPr>
          <t>Ravichandran Vaidyanathan:</t>
        </r>
        <r>
          <rPr>
            <sz val="10"/>
            <color rgb="FF000000"/>
            <rFont val="Tahoma"/>
            <family val="2"/>
          </rPr>
          <t xml:space="preserve">
</t>
        </r>
        <r>
          <rPr>
            <sz val="10"/>
            <color rgb="FF000000"/>
            <rFont val="Tahoma"/>
            <family val="2"/>
          </rPr>
          <t>Seed: first fitted = previous actual (no prior residual available)</t>
        </r>
      </text>
    </comment>
    <comment ref="D22" authorId="0" shapeId="0" xr:uid="{AA74D12C-314C-5D4F-84D4-54496011A9F8}">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 References the YELLOW parameter cells!</t>
        </r>
      </text>
    </comment>
    <comment ref="D23" authorId="0" shapeId="0" xr:uid="{7D21C54A-55E5-1141-928F-BA2C3C3D6251}">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 References the YELLOW parameter cells!</t>
        </r>
      </text>
    </comment>
    <comment ref="D24" authorId="0" shapeId="0" xr:uid="{80269D6C-17A3-5743-8085-5BD46991D5CB}">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 References the YELLOW parameter cells!</t>
        </r>
      </text>
    </comment>
    <comment ref="D25" authorId="0" shapeId="0" xr:uid="{0454BFF3-D946-0845-A031-66BE5478F33D}">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 References the YELLOW parameter cells!</t>
        </r>
      </text>
    </comment>
    <comment ref="D26" authorId="0" shapeId="0" xr:uid="{442302AF-E449-2542-9581-6C1FAAE1EFEF}">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27" authorId="0" shapeId="0" xr:uid="{A52E557A-A8DA-B54A-BB96-BF8C21AD1857}">
      <text>
        <r>
          <rPr>
            <b/>
            <sz val="10"/>
            <color rgb="FF000000"/>
            <rFont val="Tahoma"/>
            <family val="2"/>
          </rPr>
          <t>Ravichandran Vaidyanathan:</t>
        </r>
        <r>
          <rPr>
            <sz val="10"/>
            <color rgb="FF000000"/>
            <rFont val="Tahoma"/>
            <family val="2"/>
          </rPr>
          <t xml:space="preserve">
</t>
        </r>
        <r>
          <rPr>
            <sz val="10"/>
            <color rgb="FF000000"/>
            <rFont val="Tahoma"/>
            <family val="2"/>
          </rPr>
          <t>= c + φ₁</t>
        </r>
        <r>
          <rPr>
            <sz val="10"/>
            <color rgb="FF000000"/>
            <rFont val="Tahoma"/>
            <family val="2"/>
          </rPr>
          <t>×</t>
        </r>
        <r>
          <rPr>
            <sz val="10"/>
            <color rgb="FF000000"/>
            <rFont val="Tahoma"/>
            <family val="2"/>
          </rPr>
          <t>(prev 1st diff) + θ₁</t>
        </r>
        <r>
          <rPr>
            <sz val="10"/>
            <color rgb="FF000000"/>
            <rFont val="Tahoma"/>
            <family val="2"/>
          </rPr>
          <t>×</t>
        </r>
        <r>
          <rPr>
            <sz val="10"/>
            <color rgb="FF000000"/>
            <rFont val="Tahoma"/>
            <family val="2"/>
          </rPr>
          <t>(prev residual). References the YELLOW parameter cells!</t>
        </r>
      </text>
    </comment>
    <comment ref="D28" authorId="0" shapeId="0" xr:uid="{C01CC191-9A24-EF46-89A1-5135097B8A60}">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29" authorId="0" shapeId="0" xr:uid="{6DDFAD86-20A2-C444-806C-21C749EA3BDA}">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30" authorId="0" shapeId="0" xr:uid="{3F17CC7B-2F3C-274D-A6DE-D9EE1EC4118D}">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31" authorId="0" shapeId="0" xr:uid="{79C96078-08EC-A34C-8B97-1A13AF450504}">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32" authorId="0" shapeId="0" xr:uid="{41BAFBD7-D01E-2A48-9C12-D4AD5DC74E34}">
      <text>
        <r>
          <rPr>
            <b/>
            <sz val="10"/>
            <color rgb="FF000000"/>
            <rFont val="Tahoma"/>
            <family val="2"/>
          </rPr>
          <t>Ravichandran Vaidyanathan:</t>
        </r>
        <r>
          <rPr>
            <sz val="10"/>
            <color rgb="FF000000"/>
            <rFont val="Tahoma"/>
            <family val="2"/>
          </rPr>
          <t xml:space="preserve">
= c + φ₁×(prev 1st diff) + θ₁×(prev residual). References the YELLOW parameter cells!</t>
        </r>
      </text>
    </comment>
    <comment ref="D33" authorId="0" shapeId="0" xr:uid="{5BB72AB5-C41B-F842-82AC-D5C5EF19FF33}">
      <text>
        <r>
          <rPr>
            <b/>
            <sz val="10"/>
            <color rgb="FF000000"/>
            <rFont val="Tahoma"/>
            <family val="2"/>
          </rPr>
          <t>= c + φ₁×(prev 1st diff) + θ₁×(prev residual). References the YELLOW parameter cells!</t>
        </r>
      </text>
    </comment>
    <comment ref="D34" authorId="0" shapeId="0" xr:uid="{E8847CD9-EC7F-1948-9F3A-905FAC2258CF}">
      <text>
        <r>
          <rPr>
            <b/>
            <sz val="10"/>
            <color rgb="FF000000"/>
            <rFont val="Tahoma"/>
            <family val="2"/>
          </rPr>
          <t>= c + φ₁×(prev 1st diff) + θ₁×(prev residual). References the YELLOW parameter cells!</t>
        </r>
      </text>
    </comment>
    <comment ref="D35" authorId="0" shapeId="0" xr:uid="{5F3762FA-34F3-1149-BF9B-4D81250B215B}">
      <text>
        <r>
          <rPr>
            <b/>
            <sz val="10"/>
            <color rgb="FF000000"/>
            <rFont val="Tahoma"/>
            <family val="2"/>
          </rPr>
          <t>= c + φ₁×(prev 1st diff) + θ₁×(prev residual). References the YELLOW parameter cells!</t>
        </r>
      </text>
    </comment>
    <comment ref="D36" authorId="0" shapeId="0" xr:uid="{BE4F635F-06D2-CA47-9C68-293DFB4D7CA0}">
      <text>
        <r>
          <rPr>
            <b/>
            <sz val="10"/>
            <color rgb="FF000000"/>
            <rFont val="Tahoma"/>
            <family val="2"/>
          </rPr>
          <t>= c + φ₁×(prev 1st diff) + θ₁×(prev residual). References the YELLOW parameter cells!</t>
        </r>
      </text>
    </comment>
    <comment ref="D37" authorId="0" shapeId="0" xr:uid="{993113BB-D7BF-4742-A056-F1D3CB2C463A}">
      <text>
        <r>
          <rPr>
            <b/>
            <sz val="10"/>
            <color rgb="FF000000"/>
            <rFont val="Tahoma"/>
            <family val="2"/>
          </rPr>
          <t>= c + φ₁×(prev 1st diff) + θ₁×(prev residual). References the YELLOW parameter cells!</t>
        </r>
      </text>
    </comment>
    <comment ref="D38" authorId="0" shapeId="0" xr:uid="{2E74CB79-EBD4-3B4F-A759-99C918AEC7FD}">
      <text>
        <r>
          <rPr>
            <b/>
            <sz val="10"/>
            <color rgb="FF000000"/>
            <rFont val="Tahoma"/>
            <family val="2"/>
          </rPr>
          <t>= c + φ₁×(prev 1st diff) + θ₁×(prev residual). References the YELLOW parameter cells!</t>
        </r>
      </text>
    </comment>
    <comment ref="D39" authorId="0" shapeId="0" xr:uid="{D3E38495-16FB-FA4B-BB29-68DA1C33B9F4}">
      <text>
        <r>
          <rPr>
            <b/>
            <sz val="10"/>
            <color rgb="FF000000"/>
            <rFont val="Tahoma"/>
            <family val="2"/>
          </rPr>
          <t>= c + φ₁</t>
        </r>
        <r>
          <rPr>
            <b/>
            <sz val="10"/>
            <color rgb="FF000000"/>
            <rFont val="Tahoma"/>
            <family val="2"/>
          </rPr>
          <t>×</t>
        </r>
        <r>
          <rPr>
            <b/>
            <sz val="10"/>
            <color rgb="FF000000"/>
            <rFont val="Tahoma"/>
            <family val="2"/>
          </rPr>
          <t>(prev 1st diff) + θ₁</t>
        </r>
        <r>
          <rPr>
            <b/>
            <sz val="10"/>
            <color rgb="FF000000"/>
            <rFont val="Tahoma"/>
            <family val="2"/>
          </rPr>
          <t>×</t>
        </r>
        <r>
          <rPr>
            <b/>
            <sz val="10"/>
            <color rgb="FF000000"/>
            <rFont val="Tahoma"/>
            <family val="2"/>
          </rPr>
          <t>(prev residual). References the YELLOW parameter cells!</t>
        </r>
      </text>
    </comment>
    <comment ref="B43" authorId="0" shapeId="0" xr:uid="{3B8F75BC-0DD3-BA4B-9187-CF106D20F72C}">
      <text>
        <r>
          <rPr>
            <b/>
            <sz val="10"/>
            <color rgb="FF000000"/>
            <rFont val="Tahoma"/>
            <family val="2"/>
          </rPr>
          <t>Ravichandran Vaidyanathan:</t>
        </r>
        <r>
          <rPr>
            <sz val="10"/>
            <color rgb="FF000000"/>
            <rFont val="Tahoma"/>
            <family val="2"/>
          </rPr>
          <t xml:space="preserve">
</t>
        </r>
        <r>
          <rPr>
            <sz val="10"/>
            <color rgb="FF000000"/>
            <rFont val="Tahoma"/>
            <family val="2"/>
          </rPr>
          <t>OBJECTIVE CELL — Solver will MINIMISE this value. This is the total squared forecast error.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H6" authorId="0" shapeId="0" xr:uid="{BAFAFE37-BAD3-2D45-9613-1A814BA0316E}">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 ref="H7" authorId="0" shapeId="0" xr:uid="{2CDF96B2-83D6-7643-ADC9-478A16915762}">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 ref="H8" authorId="0" shapeId="0" xr:uid="{EA6F507F-FF2C-C347-A722-A0626CAD9509}">
      <text>
        <r>
          <rPr>
            <b/>
            <sz val="10"/>
            <color rgb="FF000000"/>
            <rFont val="Tahoma"/>
            <family val="2"/>
          </rPr>
          <t>Ravichandran Vaidyanathan:</t>
        </r>
        <r>
          <rPr>
            <sz val="10"/>
            <color rgb="FF000000"/>
            <rFont val="Tahoma"/>
            <family val="2"/>
          </rPr>
          <t xml:space="preserve">
</t>
        </r>
        <r>
          <rPr>
            <sz val="10"/>
            <color rgb="FF000000"/>
            <rFont val="Tahoma"/>
            <family val="2"/>
          </rPr>
          <t>Illustrative assumed parameter for educational purposes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<sst xmlns="http://schemas.openxmlformats.org/spreadsheetml/2006/main" count="864" uniqueCount="709">
  <si>
    <t>ARIMA MODEL IN FORECASTING</t>
  </si>
  <si>
    <t>Comprehensive Educational Workbook</t>
  </si>
  <si>
    <t>TABLE OF CONTENTS</t>
  </si>
  <si>
    <t>No.</t>
  </si>
  <si>
    <t>Section</t>
  </si>
  <si>
    <t>Description</t>
  </si>
  <si>
    <t>ARIMA Basics</t>
  </si>
  <si>
    <t>Fundamentals of ARIMA model — AR, I, MA components, notation, and how it works</t>
  </si>
  <si>
    <t>Illustration 1</t>
  </si>
  <si>
    <t>Monthly Retail Sales — trend identification, differencing, and forecast with ARIMA(1,1,1)</t>
  </si>
  <si>
    <t>Illustration 2</t>
  </si>
  <si>
    <t>Stock Price Data — random walk behaviour and why ARIMA struggles with volatile series</t>
  </si>
  <si>
    <t>Illustration 3</t>
  </si>
  <si>
    <t>Seasonal Demand (SARIMA) — quarterly ice cream sales with seasonal pattern and forecast</t>
  </si>
  <si>
    <t>Limitations</t>
  </si>
  <si>
    <t>Assumptions, limitations, where ARIMA works, and where it should NOT be used</t>
  </si>
  <si>
    <t>Q&amp;A</t>
  </si>
  <si>
    <t>30+ educational questions and detailed answers covering ARIMA theory and practice</t>
  </si>
  <si>
    <t>ARIMA MODEL — FUNDAMENTALS</t>
  </si>
  <si>
    <t>1. WHAT IS ARIMA?</t>
  </si>
  <si>
    <t>ARIMA stands for AutoRegressive Integrated Moving Average.</t>
  </si>
  <si>
    <t>It is one of the most widely used statistical methods for time series forecasting.</t>
  </si>
  <si>
    <t>ARIMA models capture patterns in historical data (trends, autocorrelations) to predict future values.</t>
  </si>
  <si>
    <t>The model is defined by three parameters: ARIMA(p, d, q)</t>
  </si>
  <si>
    <t>Parameter</t>
  </si>
  <si>
    <t>Name</t>
  </si>
  <si>
    <t>Meaning</t>
  </si>
  <si>
    <t>Intuition</t>
  </si>
  <si>
    <t>p</t>
  </si>
  <si>
    <t>AR (AutoRegressive)</t>
  </si>
  <si>
    <t>Number of lagged observations used as predictors</t>
  </si>
  <si>
    <t>"Today's value depends on yesterday's value (and the day before, etc.)"</t>
  </si>
  <si>
    <t>d</t>
  </si>
  <si>
    <t>I (Integrated)</t>
  </si>
  <si>
    <t>Number of times the data is differenced to make it stationary</t>
  </si>
  <si>
    <t>"Remove the trend so the data fluctuates around a constant mean"</t>
  </si>
  <si>
    <t>q</t>
  </si>
  <si>
    <t>MA (Moving Average)</t>
  </si>
  <si>
    <t>Number of lagged forecast errors used as predictors</t>
  </si>
  <si>
    <t>"Today's value is also influenced by recent forecast mistakes"</t>
  </si>
  <si>
    <t>2. KEY CONCEPTS</t>
  </si>
  <si>
    <t>STATIONARITY</t>
  </si>
  <si>
    <t>A time series is stationary if its statistical properties (mean, variance) do not change over time.</t>
  </si>
  <si>
    <t>ARIMA requires stationarity. The 'd' parameter handles this by differencing the data.</t>
  </si>
  <si>
    <t>Test: Use Augmented Dickey-Fuller (ADF) test — if p-value &lt; 0.05, the series is stationary.</t>
  </si>
  <si>
    <t>DIFFERENCING</t>
  </si>
  <si>
    <t>Subtracting each observation from the previous one to remove trends.</t>
  </si>
  <si>
    <t>First difference: Y't = Yt – Yt-1  |  If still non-stationary, difference again (d=2).</t>
  </si>
  <si>
    <t>AUTOCORRELATION</t>
  </si>
  <si>
    <t>Measures how much a value at time t is correlated with values at earlier time points (lags).</t>
  </si>
  <si>
    <t>ACF (AutoCorrelation Function) → helps determine 'q' (MA order).</t>
  </si>
  <si>
    <t>PACF (Partial AutoCorrelation Function) → helps determine 'p' (AR order).</t>
  </si>
  <si>
    <t>3. THE ARIMA EQUATION</t>
  </si>
  <si>
    <t>General ARIMA(p,d,q) Model:</t>
  </si>
  <si>
    <t>Y't = c + φ1·Y't-1 + φ2·Y't-2 + ... + φp·Y't-p + εt + θ1·εt-1 + θ2·εt-2 + ... + θq·εt-q</t>
  </si>
  <si>
    <t>Where:</t>
  </si>
  <si>
    <t xml:space="preserve">  Y't</t>
  </si>
  <si>
    <t>= differenced series (after applying d differences)</t>
  </si>
  <si>
    <t xml:space="preserve">  c</t>
  </si>
  <si>
    <t>= constant / intercept term</t>
  </si>
  <si>
    <t xml:space="preserve">  φ₁..φp</t>
  </si>
  <si>
    <t>= AR coefficients (weights on past values)</t>
  </si>
  <si>
    <t xml:space="preserve">  θ₁..θq</t>
  </si>
  <si>
    <t>= MA coefficients (weights on past errors)</t>
  </si>
  <si>
    <t xml:space="preserve">  εt</t>
  </si>
  <si>
    <t>= white noise error term at time t</t>
  </si>
  <si>
    <t>4. SPECIAL CASES OF ARIMA</t>
  </si>
  <si>
    <t>Model</t>
  </si>
  <si>
    <t>Parameters</t>
  </si>
  <si>
    <t>White Noise</t>
  </si>
  <si>
    <t>ARIMA(0,0,0)</t>
  </si>
  <si>
    <t>No pattern — purely random; cannot be forecasted</t>
  </si>
  <si>
    <t>Random Walk</t>
  </si>
  <si>
    <t>ARIMA(0,1,0)</t>
  </si>
  <si>
    <t>Best forecast of tomorrow = today's value. Common in stock prices</t>
  </si>
  <si>
    <t>AR(1)</t>
  </si>
  <si>
    <t>ARIMA(1,0,0)</t>
  </si>
  <si>
    <t>Value depends only on the immediately preceding value</t>
  </si>
  <si>
    <t>MA(1)</t>
  </si>
  <si>
    <t>ARIMA(0,0,1)</t>
  </si>
  <si>
    <t>Value depends on the most recent forecast error</t>
  </si>
  <si>
    <t>SARIMA</t>
  </si>
  <si>
    <t>ARIMA(p,d,q)(P,D,Q)s</t>
  </si>
  <si>
    <t>Seasonal ARIMA — adds seasonal AR, differencing, and MA terms with period s</t>
  </si>
  <si>
    <t>5. STEPS TO BUILD AN ARIMA MODEL</t>
  </si>
  <si>
    <t>Step</t>
  </si>
  <si>
    <t>Action</t>
  </si>
  <si>
    <t>Details</t>
  </si>
  <si>
    <t>Visualise the data</t>
  </si>
  <si>
    <t>Plot the time series. Look for trends, seasonality, and outliers.</t>
  </si>
  <si>
    <t>Test for stationarity</t>
  </si>
  <si>
    <t>Use ADF test. If non-stationary (p &gt; 0.05), apply differencing.</t>
  </si>
  <si>
    <t>Determine d</t>
  </si>
  <si>
    <t>Difference the series until it becomes stationary. Count how many times = d.</t>
  </si>
  <si>
    <t>Examine ACF &amp; PACF</t>
  </si>
  <si>
    <t>ACF plot → identify q (MA). PACF plot → identify p (AR). Look for significant spikes.</t>
  </si>
  <si>
    <t>Fit candidate models</t>
  </si>
  <si>
    <t>Try several (p,d,q) combinations. Compare using AIC / BIC (lower = better).</t>
  </si>
  <si>
    <t>Diagnose residuals</t>
  </si>
  <si>
    <t>Residuals should be white noise (no autocorrelation, zero mean). Use Ljung-Box test.</t>
  </si>
  <si>
    <t>Forecast</t>
  </si>
  <si>
    <t>Generate point forecasts and confidence intervals for future periods.</t>
  </si>
  <si>
    <t>← Back to Table of Contents</t>
  </si>
  <si>
    <t>ILLUSTRATION 1: MONTHLY RETAIL SALES — ARIMA(1,1,1)</t>
  </si>
  <si>
    <t>Demonstrates trend identification, differencing, and forecasting with a simple ARIMA model</t>
  </si>
  <si>
    <t>RAW DATA</t>
  </si>
  <si>
    <t>Month</t>
  </si>
  <si>
    <t>Sales ($000s)</t>
  </si>
  <si>
    <t>1st Difference</t>
  </si>
  <si>
    <t>Fitted Value</t>
  </si>
  <si>
    <t>Residual</t>
  </si>
  <si>
    <t>ARIMA(1,1,1) MODEL PARAMETERS</t>
  </si>
  <si>
    <t>Symbol</t>
  </si>
  <si>
    <t>Value</t>
  </si>
  <si>
    <t>Constant (c)</t>
  </si>
  <si>
    <t>c</t>
  </si>
  <si>
    <t>AR(1) coefficient</t>
  </si>
  <si>
    <t>φ₁</t>
  </si>
  <si>
    <t>MA(1) coefficient</t>
  </si>
  <si>
    <t>θ₁</t>
  </si>
  <si>
    <t>INTERPRETATION</t>
  </si>
  <si>
    <t>Forecast = c + φ₁ × (prev. 1st diff) + θ₁ × (prev. error)</t>
  </si>
  <si>
    <t>Then: Fitted Value = Previous Actual + Forecasted Difference</t>
  </si>
  <si>
    <t>FORECAST (Next 6 Months)</t>
  </si>
  <si>
    <t>Forecast ($000s)</t>
  </si>
  <si>
    <t>Note</t>
  </si>
  <si>
    <t>1-step ahead from last actual</t>
  </si>
  <si>
    <t>Error assumed = 0 for future periods</t>
  </si>
  <si>
    <t>ILLUSTRATION 2: STOCK PRICE DATA — RANDOM WALK &amp; ARIMA LIMITATIONS</t>
  </si>
  <si>
    <t>Demonstrates why ARIMA often reduces to a random walk for stock prices — tomorrow's best forecast is today's price</t>
  </si>
  <si>
    <t>DAILY STOCK PRICE DATA (Simulated)</t>
  </si>
  <si>
    <t>Day</t>
  </si>
  <si>
    <t>Price ($)</t>
  </si>
  <si>
    <t>Daily Return</t>
  </si>
  <si>
    <t>Random Walk Forecast</t>
  </si>
  <si>
    <t>Forecast Error</t>
  </si>
  <si>
    <t>KEY INSIGHT — WHY ARIMA FAILS ON STOCK PRICES</t>
  </si>
  <si>
    <t>ARIMA on stock prices typically converges to ARIMA(0,1,0) = Random Walk.</t>
  </si>
  <si>
    <t>This means: Tomorrow's price = Today's price + random noise.</t>
  </si>
  <si>
    <t>The forecast is simply the LAST KNOWN price repeated forward — a flat line.</t>
  </si>
  <si>
    <t>WHY?</t>
  </si>
  <si>
    <t>• Stock price changes (returns) are nearly unpredictable</t>
  </si>
  <si>
    <t>• Returns show very low autocorrelation (past ≠ future)</t>
  </si>
  <si>
    <t>• Prices are driven by new information, not past patterns</t>
  </si>
  <si>
    <t>• This is consistent with the Efficient Market Hypothesis</t>
  </si>
  <si>
    <t>STATISTICS</t>
  </si>
  <si>
    <t>Mean Forecast Error:</t>
  </si>
  <si>
    <t>Mean Absolute Error:</t>
  </si>
  <si>
    <t>Avg Daily Return:</t>
  </si>
  <si>
    <t>ILLUSTRATION 3: SEASONAL DEMAND FORECASTING — SARIMA</t>
  </si>
  <si>
    <t>Ice cream sales with strong quarterly seasonality — SARIMA(1,1,1)(1,1,0)₄ captures repeating seasonal patterns</t>
  </si>
  <si>
    <t>QUARTERLY ICE CREAM SALES (Units in 000s)</t>
  </si>
  <si>
    <t>Year</t>
  </si>
  <si>
    <t>Quarter</t>
  </si>
  <si>
    <t>Sales (000s)</t>
  </si>
  <si>
    <t>Seasonal Index</t>
  </si>
  <si>
    <t>Deseasonalised</t>
  </si>
  <si>
    <t>Trend (4-Qtr MA)</t>
  </si>
  <si>
    <t>Q1</t>
  </si>
  <si>
    <t>Q2</t>
  </si>
  <si>
    <t>Q3</t>
  </si>
  <si>
    <t>Q4</t>
  </si>
  <si>
    <t>SEASONAL INDEX CALCULATION</t>
  </si>
  <si>
    <t>Avg Sales</t>
  </si>
  <si>
    <t>Q1 (Winter)</t>
  </si>
  <si>
    <t>Q2 (Spring)</t>
  </si>
  <si>
    <t>Q3 (Summer)</t>
  </si>
  <si>
    <t>Q4 (Fall)</t>
  </si>
  <si>
    <t>SARIMA FORECAST (Next 4 Quarters)</t>
  </si>
  <si>
    <t>Forecast (000s)</t>
  </si>
  <si>
    <t>Method</t>
  </si>
  <si>
    <t>Last Q1 + (Q1 YoY growth)</t>
  </si>
  <si>
    <t>Last Q2 + (Q2 YoY growth)</t>
  </si>
  <si>
    <t>Last Q3 + (Q3 YoY growth)</t>
  </si>
  <si>
    <t>Last Q4 + (Q4 YoY growth)</t>
  </si>
  <si>
    <t>WHAT MAKES SARIMA DIFFERENT?</t>
  </si>
  <si>
    <t>SARIMA = ARIMA(p,d,q)(P,D,Q)s</t>
  </si>
  <si>
    <t>Non-Seasonal Part:</t>
  </si>
  <si>
    <t xml:space="preserve">  p, d, q = same as regular ARIMA</t>
  </si>
  <si>
    <t>Seasonal Part:</t>
  </si>
  <si>
    <t xml:space="preserve">  P = seasonal AR order (lags at multiples of s)</t>
  </si>
  <si>
    <t xml:space="preserve">  D = seasonal differencing (Yt – Yt-s)</t>
  </si>
  <si>
    <t xml:space="preserve">  Q = seasonal MA order</t>
  </si>
  <si>
    <t xml:space="preserve">  s = seasonal period (4 for quarterly, 12 for monthly)</t>
  </si>
  <si>
    <t>In this example: SARIMA(1,1,1)(1,1,0)₄</t>
  </si>
  <si>
    <t>The model differences both consecutively AND seasonally</t>
  </si>
  <si>
    <t>(subtracts the value from 4 quarters ago), capturing the</t>
  </si>
  <si>
    <t>repeating summer-peak / winter-trough pattern.</t>
  </si>
  <si>
    <t>ARIMA MODEL — ASSUMPTIONS, LIMITATIONS &amp; APPLICABILITY</t>
  </si>
  <si>
    <t>1. KEY ASSUMPTIONS OF ARIMA</t>
  </si>
  <si>
    <t>#</t>
  </si>
  <si>
    <t>Assumption</t>
  </si>
  <si>
    <t>What This Means in Practice</t>
  </si>
  <si>
    <t>Stationarity (after differencing)</t>
  </si>
  <si>
    <t>The statistical properties of the series must be constant over time. Differencing can make a trending series stationary, but if the variance changes over time, ARIMA alone won't handle it.</t>
  </si>
  <si>
    <t>Linearity</t>
  </si>
  <si>
    <t>ARIMA assumes the relationship between past values and future values is LINEAR. It cannot capture exponential growth, threshold effects, or nonlinear dynamics.</t>
  </si>
  <si>
    <t>No structural breaks</t>
  </si>
  <si>
    <t>The data-generating process must be consistent over time. If a policy change, pandemic, or regime shift occurs, ARIMA will not adapt — it projects the OLD pattern forward.</t>
  </si>
  <si>
    <t>Sufficient historical data</t>
  </si>
  <si>
    <t>ARIMA typically needs 50+ observations minimum, ideally 100+. With fewer data points, parameter estimation becomes unreliable and confidence intervals become very wide.</t>
  </si>
  <si>
    <t>No exogenous shocks</t>
  </si>
  <si>
    <t>ARIMA uses ONLY past values of the series itself. It ignores external factors (interest rates, competitor actions, weather). For external drivers, use ARIMAX or regression.</t>
  </si>
  <si>
    <t>Normally distributed errors</t>
  </si>
  <si>
    <t>Residuals should be white noise with a normal distribution. If errors are skewed or have heavy tails, confidence intervals will be unreliable.</t>
  </si>
  <si>
    <t>2. WHERE ARIMA WORKS WELL ✓</t>
  </si>
  <si>
    <t>Application</t>
  </si>
  <si>
    <t>Why It Works</t>
  </si>
  <si>
    <t>Example</t>
  </si>
  <si>
    <t>Retail sales forecasting</t>
  </si>
  <si>
    <t>Strong seasonal patterns with steady trends; consistent historical behaviour</t>
  </si>
  <si>
    <t>Monthly supermarket revenue, quarterly clothing sales</t>
  </si>
  <si>
    <t>Energy demand forecasting</t>
  </si>
  <si>
    <t>Electricity and gas usage follows clear seasonal and daily cycles</t>
  </si>
  <si>
    <t>Daily electricity load, monthly natural gas consumption</t>
  </si>
  <si>
    <t>Manufacturing output</t>
  </si>
  <si>
    <t>Production volumes are relatively stable with gradual trends</t>
  </si>
  <si>
    <t>Monthly widget production, quarterly semiconductor shipments</t>
  </si>
  <si>
    <t>Tourism &amp; hospitality</t>
  </si>
  <si>
    <t>Hotel occupancy and visitor numbers are highly seasonal and predictable</t>
  </si>
  <si>
    <t>Monthly hotel bookings, weekly restaurant covers</t>
  </si>
  <si>
    <t>Inventory management</t>
  </si>
  <si>
    <t>Demand patterns for staple products are stable and auto-correlated</t>
  </si>
  <si>
    <t>Weekly grocery restocking, monthly pharmaceutical supply</t>
  </si>
  <si>
    <t>Economic indicators</t>
  </si>
  <si>
    <t>GDP, CPI, and unemployment move gradually with momentum</t>
  </si>
  <si>
    <t>Quarterly GDP, monthly CPI, monthly unemployment rate</t>
  </si>
  <si>
    <t>3. WHERE ARIMA SHOULD NOT BE USED ✗</t>
  </si>
  <si>
    <t>Why It Fails</t>
  </si>
  <si>
    <t>Better Alternative</t>
  </si>
  <si>
    <t>Stock price prediction</t>
  </si>
  <si>
    <t>Returns are near-random; ARIMA degenerates to a random walk producing a flat-line forecast</t>
  </si>
  <si>
    <t>GARCH for volatility; ML models; fundamental analysis</t>
  </si>
  <si>
    <t>Cryptocurrency prices</t>
  </si>
  <si>
    <t>Extreme volatility, regime shifts, sentiment-driven — violates stationarity &amp; linearity</t>
  </si>
  <si>
    <t>Deep learning (LSTM, Transformer); regime-switching models</t>
  </si>
  <si>
    <t>Pandemic / crisis forecasting</t>
  </si>
  <si>
    <t>Massive structural break; ARIMA assumes the future looks like the past</t>
  </si>
  <si>
    <t>SIR epidemiological models; scenario analysis; expert judgment</t>
  </si>
  <si>
    <t>Social media / viral trends</t>
  </si>
  <si>
    <t>Exponential spikes and sudden drops; no stable autocorrelation structure</t>
  </si>
  <si>
    <t>Event-driven models; Bayesian updating; real-time dashboards</t>
  </si>
  <si>
    <t>Multi-factor causal problems</t>
  </si>
  <si>
    <t>ARIMA ignores external variables. If price depends on weather + marketing + competitors, it will miss them.</t>
  </si>
  <si>
    <t>Regression (ARIMAX); VAR models; ML with feature engineering</t>
  </si>
  <si>
    <t>Long-horizon forecasts (&gt;12 periods)</t>
  </si>
  <si>
    <t>Forecast converges to the mean; confidence intervals become enormous; essentially useless</t>
  </si>
  <si>
    <t>Structural models; scenario planning; trend extrapolation with domain expertise</t>
  </si>
  <si>
    <t>4. KEY LIMITATIONS SUMMARY</t>
  </si>
  <si>
    <t>Limitation</t>
  </si>
  <si>
    <t>Impact</t>
  </si>
  <si>
    <t>Mitigation</t>
  </si>
  <si>
    <t>Univariate only</t>
  </si>
  <si>
    <t>Cannot incorporate multiple predictors (weather, price, promotions)</t>
  </si>
  <si>
    <t>Use ARIMAX or VAR for multivariate analysis</t>
  </si>
  <si>
    <t>Flat long-term forecasts</t>
  </si>
  <si>
    <t>Beyond a few periods, forecasts revert to the mean and become useless</t>
  </si>
  <si>
    <t>Combine with structural models for long horizons</t>
  </si>
  <si>
    <t>Requires manual tuning</t>
  </si>
  <si>
    <t>Choosing p, d, q requires expertise in reading ACF/PACF plots</t>
  </si>
  <si>
    <t>Use auto.arima (R) or auto_arima (Python) for automated selection</t>
  </si>
  <si>
    <t>Cannot handle outliers well</t>
  </si>
  <si>
    <t>Extreme values distort parameter estimates and forecasts</t>
  </si>
  <si>
    <t>Pre-process outliers; use robust estimation methods</t>
  </si>
  <si>
    <t>Symmetric confidence intervals</t>
  </si>
  <si>
    <t>Assumes normally distributed errors; real data is often skewed</t>
  </si>
  <si>
    <t>Use bootstrapped prediction intervals or quantile regression</t>
  </si>
  <si>
    <t>No regime switching</t>
  </si>
  <si>
    <t>Cannot adapt to fundamentally different market conditions (bull vs bear)</t>
  </si>
  <si>
    <t>Use Markov-switching ARIMA or threshold models</t>
  </si>
  <si>
    <t>ARIMA MODEL — EDUCATIONAL Q&amp;A</t>
  </si>
  <si>
    <t>30+ questions and detailed answers covering theory, practice, and common pitfalls</t>
  </si>
  <si>
    <t>Category</t>
  </si>
  <si>
    <t>Question</t>
  </si>
  <si>
    <t>Answer</t>
  </si>
  <si>
    <t>Fundamentals</t>
  </si>
  <si>
    <t>What does ARIMA stand for?</t>
  </si>
  <si>
    <t>ARIMA = AutoRegressive Integrated Moving Average. It is a class of statistical models for analysing and forecasting time series data. 'AutoRegressive' means regression on its own past values, 'Integrated' means differencing to achieve stationarity, and 'Moving Average' means modelling the error term as a combination of past error terms.</t>
  </si>
  <si>
    <t>What do the parameters p, d, and q represent?</t>
  </si>
  <si>
    <t>p = number of AR (autoregressive) lag terms. d = number of times the series is differenced to make it stationary. q = number of MA (moving average) lag terms. Together, ARIMA(p,d,q) fully specifies the model. For example, ARIMA(1,1,1) uses 1 lag of past values, 1 round of differencing, and 1 lag of past errors.</t>
  </si>
  <si>
    <t>What is stationarity and why does ARIMA require it?</t>
  </si>
  <si>
    <t>A stationary time series has constant mean, variance, and autocorrelation over time. ARIMA requires stationarity because the model coefficients are estimated assuming the underlying statistical properties don't change. If the series is trending or has changing variance, the estimated coefficients will be unreliable and forecasts will be poor.</t>
  </si>
  <si>
    <t>How do you make a non-stationary series stationary?</t>
  </si>
  <si>
    <t>The most common method is differencing: subtract each value from its predecessor. First differencing (d=1) removes a linear trend. If the series is still non-stationary, apply a second difference (d=2). For changing variance, apply a log transformation before differencing. Seasonal differencing (Yt – Yt-s) removes seasonal patterns.</t>
  </si>
  <si>
    <t>What is the Augmented Dickey-Fuller (ADF) test?</t>
  </si>
  <si>
    <t>The ADF test is a statistical hypothesis test for stationarity. The null hypothesis is that the series has a unit root (i.e., it is non-stationary). If the p-value is &lt; 0.05, we reject the null and conclude the series is stationary. If p &gt; 0.05, we need to difference further.</t>
  </si>
  <si>
    <t>What is autocorrelation?</t>
  </si>
  <si>
    <t>Autocorrelation measures the linear correlation between a time series and a lagged version of itself. If yesterday's sales strongly predict today's sales, the series has high autocorrelation at lag 1. The ACF (AutoCorrelation Function) plots these correlations across multiple lags and is essential for determining the MA order (q).</t>
  </si>
  <si>
    <t>What is the difference between ACF and PACF?</t>
  </si>
  <si>
    <t>ACF shows the total correlation between a series and its lags (including indirect effects through intermediate lags). PACF shows only the DIRECT correlation between a series and a specific lag, removing the influence of intermediate lags. ACF helps determine q (MA order); PACF helps determine p (AR order). A sharp cutoff in PACF after lag k suggests p=k.</t>
  </si>
  <si>
    <t>What is a random walk?</t>
  </si>
  <si>
    <t>A random walk is ARIMA(0,1,0): the best forecast for tomorrow is today's value plus random noise. Stock prices often behave like random walks because returns are unpredictable. The random walk model says Yt = Yt-1 + εt. Any forecast beyond the next period converges to a flat line at the last observed value.</t>
  </si>
  <si>
    <t>What is white noise?</t>
  </si>
  <si>
    <t>White noise is a sequence of uncorrelated random variables with zero mean and constant variance. If a model's residuals are white noise, it means the model has captured all the predictable structure in the data. This is the goal of ARIMA fitting — the leftovers should be purely random.</t>
  </si>
  <si>
    <t>What is the difference between AR and MA components?</t>
  </si>
  <si>
    <t>AR (AutoRegressive): The current value depends on its own past values. An AR(1) model says Yt = c + φ₁Yt-1 + εt. MA (Moving Average): The current value depends on past forecast errors. An MA(1) model says Yt = c + εt + θ₁εt-1. In practice, most real series need a combination of both, hence ARIMA.</t>
  </si>
  <si>
    <t>Practice</t>
  </si>
  <si>
    <t>How do you choose the values of p, d, and q?</t>
  </si>
  <si>
    <t>Step 1: Determine d by differencing until the series passes the ADF test. Step 2: Plot the PACF of the differenced series — the lag where it cuts off suggests p. Step 3: Plot the ACF — the lag where it cuts off suggests q. Step 4: Fit several candidate models and compare AIC/BIC scores (lower = better). Automated methods like auto.arima also work well.</t>
  </si>
  <si>
    <t>What are AIC and BIC?</t>
  </si>
  <si>
    <t>AIC (Akaike Information Criterion) and BIC (Bayesian Information Criterion) measure model fit penalised for complexity. Lower values indicate a better balance of fit and parsimony. AIC = 2k – 2ln(L); BIC = kln(n) – 2ln(L), where k = parameters, n = observations, L = likelihood. BIC penalises complexity more heavily than AIC.</t>
  </si>
  <si>
    <t>How many data points does ARIMA need?</t>
  </si>
  <si>
    <t>A minimum of 50 observations is generally recommended, with 100+ being ideal. For seasonal ARIMA, you need at least 2 full seasonal cycles (e.g., 8 quarters for quarterly data, 24 months for monthly data). Fewer data points lead to unreliable parameter estimates and very wide confidence intervals.</t>
  </si>
  <si>
    <t>How do you check if your ARIMA model is good?</t>
  </si>
  <si>
    <t>1) Residual analysis: residuals should be white noise (no autocorrelation, zero mean, constant variance). 2) Ljung-Box test: p-value &gt; 0.05 means residuals are uncorrelated. 3) Check AIC/BIC vs alternative models. 4) Out-of-sample testing: split data into train/test, forecast the test period, and measure RMSE, MAE, MAPE.</t>
  </si>
  <si>
    <t>What is the Ljung-Box test?</t>
  </si>
  <si>
    <t>The Ljung-Box test checks whether the residuals of a fitted model are independently distributed (i.e., no remaining autocorrelation). The null hypothesis is that the residuals are white noise. If p-value &gt; 0.05, we fail to reject — the model has adequately captured the autocorrelation structure. If p &lt; 0.05, the model is incomplete.</t>
  </si>
  <si>
    <t>What is the difference between ARIMA and SARIMA?</t>
  </si>
  <si>
    <t>SARIMA adds seasonal components: SARIMA(p,d,q)(P,D,Q)s. The uppercase P, D, Q represent seasonal AR, differencing, and MA orders at seasonal lag s. Example: SARIMA(1,1,1)(1,1,0)₄ for quarterly data applies both regular and seasonal differencing, capturing patterns that repeat every 4 periods.</t>
  </si>
  <si>
    <t>Can ARIMA handle missing values?</t>
  </si>
  <si>
    <t>Standard ARIMA cannot handle missing values directly. You must first impute them using methods like: linear interpolation, last-observation-carried-forward (LOCF), seasonal interpolation (average of same season), or Kalman smoothing. The state-space form of ARIMA (available in some software) can handle missing values internally.</t>
  </si>
  <si>
    <t>What software tools can fit ARIMA models?</t>
  </si>
  <si>
    <t>Python: statsmodels (ARIMA, auto_arima via pmdarima). R: forecast package (auto.arima, Arima). Excel: limited native support — use the Analysis ToolPak or third-party add-ins. SAS, SPSS, Stata all have ARIMA procedures. For beginners, Python's pmdarima or R's forecast package are most accessible.</t>
  </si>
  <si>
    <t>What is overfitting in ARIMA?</t>
  </si>
  <si>
    <t>Overfitting occurs when you use too many parameters (high p and/or q) to fit noise in the training data rather than the true signal. Signs: excellent in-sample fit but poor out-of-sample forecasts; AIC improves but BIC gets worse. Prevention: use BIC for model selection, cross-validate, and prefer simpler models (parsimony principle).</t>
  </si>
  <si>
    <t>How far ahead can ARIMA forecast reliably?</t>
  </si>
  <si>
    <t>Generally 1–3 periods ahead with good accuracy; 4–12 periods with increasing uncertainty. Beyond 12 periods, forecasts converge to the series mean with very wide confidence intervals. Rule of thumb: forecast horizon should be no more than ~20–25% of the historical data length. For monthly data with 5 years of history, forecasting 6–12 months is reasonable.</t>
  </si>
  <si>
    <t>Advanced</t>
  </si>
  <si>
    <t>What is ARIMAX?</t>
  </si>
  <si>
    <t>ARIMAX (ARIMA with eXogenous variables) extends ARIMA by including external predictors. For example, forecasting electricity demand using temperature as an exogenous variable. The model becomes: Yt = βXt + ARIMA(p,d,q) errors. This addresses a key limitation of pure ARIMA — the inability to incorporate external drivers.</t>
  </si>
  <si>
    <t>What is the difference between ARIMA and Exponential Smoothing?</t>
  </si>
  <si>
    <t>Both are popular univariate forecasting methods. Exponential Smoothing (ETS) uses weighted averages of past observations with exponentially decreasing weights. ARIMA uses lagged values and errors. ETS is simpler and often performs equally well. Key difference: ARIMA can model more complex autocorrelation structures; ETS handles trend/seasonality more intuitively.</t>
  </si>
  <si>
    <t>What is a VAR model and when should it be used instead of ARIMA?</t>
  </si>
  <si>
    <t>VAR (Vector AutoRegression) models multiple time series simultaneously, capturing interdependencies. Use VAR when you have multiple related series (e.g., GDP, inflation, interest rates) that influence each other. ARIMA is univariate; VAR is multivariate. If Series A causes Series B and vice versa, VAR captures this bidirectional relationship.</t>
  </si>
  <si>
    <t>What is GARCH and how does it relate to ARIMA?</t>
  </si>
  <si>
    <t>GARCH (Generalised Autoregressive Conditional Heteroskedasticity) models time-varying VOLATILITY. ARIMA models the LEVEL of a series; GARCH models how the variance changes over time. They are often combined: fit ARIMA to the mean, then fit GARCH to the residuals. This is essential for financial risk management where volatility clustering is common.</t>
  </si>
  <si>
    <t>Pitfalls</t>
  </si>
  <si>
    <t>Why does ARIMA fail on stock prices?</t>
  </si>
  <si>
    <t>Stock returns are nearly unpredictable (weak-form market efficiency). ARIMA on price levels typically converges to a random walk: the best forecast is today's price. Returns show near-zero autocorrelation, so AR and MA terms add nothing. The forecast is a flat line, and confidence intervals widen rapidly. ARIMA is useful for modelling volatility (via GARCH) but not price direction.</t>
  </si>
  <si>
    <t>What happens if you over-difference the data?</t>
  </si>
  <si>
    <t>Over-differencing introduces artificial negative autocorrelation and makes the series noisier than necessary. This inflates variance and leads to less efficient forecasts. Signs of over-differencing: the first lag of the ACF of the differenced series is strongly negative (close to –0.5). If d=1 produces stationarity, do not use d=2.</t>
  </si>
  <si>
    <t>Can ARIMA detect causation?</t>
  </si>
  <si>
    <t>No. ARIMA is a correlation-based forecasting tool, not a causal model. It identifies patterns in the data but cannot determine WHY those patterns exist. For causal inference, you need experimental design, instrumental variables, or structural equation models. ARIMA tells you WHAT will likely happen, not WHY.</t>
  </si>
  <si>
    <t>What is a structural break and why does it matter?</t>
  </si>
  <si>
    <t>A structural break is a sudden, permanent change in the data-generating process (e.g., a new regulation, technology shift, or pandemic). ARIMA estimates parameters from all historical data equally, so a structural break contaminates the estimates. The model will forecast the OLD regime, not the new one. Solution: use only post-break data or use regime-switching models.</t>
  </si>
  <si>
    <t>What are confidence intervals in ARIMA and why do they widen?</t>
  </si>
  <si>
    <t>Confidence intervals represent the range within which the true value is expected to fall. They widen over time because forecast uncertainty accumulates — each period adds more error. Typically, 1-step-ahead intervals are tight, but by 10+ periods out they can be so wide as to be practically useless. This is a fundamental property of ARIMA, not a flaw.</t>
  </si>
  <si>
    <t>How does ARIMA compare to machine learning for forecasting?</t>
  </si>
  <si>
    <t>For univariate time series with &lt;1000 data points, ARIMA often matches or beats ML models (including LSTM, XGBoost). ML excels with: many features/exogenous variables, very large datasets, complex nonlinear relationships, and image/text inputs. ARIMA advantages: interpretable, well-understood theory, needs less data, easier to validate. Use the right tool for the problem.</t>
  </si>
  <si>
    <t>Bonus</t>
  </si>
  <si>
    <t>What is the Box-Jenkins methodology?</t>
  </si>
  <si>
    <t>The Box-Jenkins methodology is the standard 3-step approach to ARIMA modelling: 1) Identification (examine ACF/PACF, determine p,d,q), 2) Estimation (fit the model using maximum likelihood), 3) Diagnostic checking (verify residuals are white noise). If diagnostics fail, return to Step 1 with a different model. Named after George Box and Gwilym Jenkins (1970).</t>
  </si>
  <si>
    <t>Can you combine ARIMA with other methods?</t>
  </si>
  <si>
    <t>Yes, hybrid approaches are common and often outperform pure ARIMA: 1) ARIMA + GARCH for volatility modelling. 2) ARIMA + Neural Network for nonlinear residuals. 3) ARIMAX for incorporating external predictors. 4) Ensemble: average ARIMA and ETS forecasts. 5) ARIMA as a baseline, with ML capturing the residual pattern.</t>
  </si>
  <si>
    <t>What is the principle of parsimony in ARIMA?</t>
  </si>
  <si>
    <t>Parsimony means preferring the simplest adequate model. Between ARIMA(1,1,1) and ARIMA(3,1,3), if both fit similarly, choose the simpler one. Simpler models generalise better to unseen data, are more interpretable, and have more stable parameter estimates. BIC naturally enforces parsimony through its heavier complexity penalty.</t>
  </si>
  <si>
    <t>What is a unit root?</t>
  </si>
  <si>
    <t>A unit root is a feature of a time series that makes it non-stationary. Technically, if the characteristic polynomial of the AR part has a root on the unit circle, the series is non-stationary. In simpler terms: a series with a unit root has a 'memory' of shocks that never fades, so the mean is undefined. Differencing removes the unit root.</t>
  </si>
  <si>
    <t>Summarise: When should I use ARIMA vs NOT use ARIMA?</t>
  </si>
  <si>
    <t>USE ARIMA when: you have 50+ data points, the series has stable patterns (trends, seasonality), you need short-term forecasts (1–12 periods), and external variables are not critical. DO NOT USE ARIMA when: data has structural breaks, the series is highly volatile or nonlinear (stocks, crypto), you need long-term forecasts (&gt;12 periods), external factors dominate, or you have very little data (&lt;30 points).</t>
  </si>
  <si>
    <t>CASE STUDY 1: BAKERY WEEKLY BREAD SALES — ARIMA(1,1,1)</t>
  </si>
  <si>
    <t>SCENARIO</t>
  </si>
  <si>
    <t>Business:</t>
  </si>
  <si>
    <t>"Golden Crust Bakery" — a neighbourhood bakery tracking weekly loaves sold</t>
  </si>
  <si>
    <t>Goal:</t>
  </si>
  <si>
    <t>Forecast next 4 weeks of bread sales to optimise flour purchasing and reduce waste</t>
  </si>
  <si>
    <t>Data:</t>
  </si>
  <si>
    <t>30 weeks of historical data (showing a gradual upward trend as the bakery gains popularity)</t>
  </si>
  <si>
    <t>Model:</t>
  </si>
  <si>
    <t>ARIMA(1,1,1) — 1 AR lag, 1 differencing, 1 MA lag</t>
  </si>
  <si>
    <t>STEP 1: RAW DATA — Visualise &amp; Understand</t>
  </si>
  <si>
    <t>Week</t>
  </si>
  <si>
    <t>Loaves Sold</t>
  </si>
  <si>
    <t>STEP 2: DIFFERENCING (d=1) — Remove the Trend</t>
  </si>
  <si>
    <t>1st Difference (ΔYt)</t>
  </si>
  <si>
    <t>Interpretation</t>
  </si>
  <si>
    <t>Week-over-week change; trend is removed</t>
  </si>
  <si>
    <t>Negative = dip; Positive = growth</t>
  </si>
  <si>
    <t>Mean of differences:</t>
  </si>
  <si>
    <t>← Approx. weekly growth in loaves</t>
  </si>
  <si>
    <t>Stdev of differences:</t>
  </si>
  <si>
    <t>← Relatively stable → stationarity achieved</t>
  </si>
  <si>
    <t>STEP 3: ARIMA(1,1,1) MODEL FITTING</t>
  </si>
  <si>
    <t>Estimated Parameters</t>
  </si>
  <si>
    <t>Constant (intercept)</t>
  </si>
  <si>
    <t>Base expected change per week (loaves)</t>
  </si>
  <si>
    <t>40% of last week's change carries forward</t>
  </si>
  <si>
    <t>Corrects 25% of last week's forecast error</t>
  </si>
  <si>
    <t>THE ARIMA EQUATION FOR THIS CASE:</t>
  </si>
  <si>
    <t>ΔŶt = 2.5 + 0.40 × ΔYt-1 + (–0.25) × εt-1</t>
  </si>
  <si>
    <t>Then: Forecast = Previous Actual + ΔŶt</t>
  </si>
  <si>
    <t>In plain English:</t>
  </si>
  <si>
    <t>"Next week's sales = This week's sales + 2.5 base growth</t>
  </si>
  <si>
    <t xml:space="preserve"> + 40% of this week's change + correction for this week's forecast miss"</t>
  </si>
  <si>
    <t>STEP 4: FITTED VALUES — How the Model Predicts Each Week</t>
  </si>
  <si>
    <t>Actual</t>
  </si>
  <si>
    <t>Predicted Δ</t>
  </si>
  <si>
    <t>Residual (ε)</t>
  </si>
  <si>
    <t>STEP 5: FORECAST — Next 4 Weeks</t>
  </si>
  <si>
    <t>Forecast (Loaves)</t>
  </si>
  <si>
    <t>Calculation Detail</t>
  </si>
  <si>
    <t>= 2.5 + 0.4×(last Δ) + (–0.25)×(last residual) + last actual</t>
  </si>
  <si>
    <t>Future errors assumed = 0 (we can't know future surprises)</t>
  </si>
  <si>
    <t>Forecast converges — each step has less new information</t>
  </si>
  <si>
    <t>Notice: forecast growth slows and flattens — typical ARIMA behaviour</t>
  </si>
  <si>
    <t>STEP 6: MODEL ACCURACY CHECK</t>
  </si>
  <si>
    <t>Metric</t>
  </si>
  <si>
    <t>What It Means</t>
  </si>
  <si>
    <t>Mean Residual</t>
  </si>
  <si>
    <t>Should be near zero — model is unbiased if close to 0</t>
  </si>
  <si>
    <t>Mean Absolute Error (MAE)</t>
  </si>
  <si>
    <t>Average forecast miss in loaves</t>
  </si>
  <si>
    <t>Root Mean Square Error (RMSE)</t>
  </si>
  <si>
    <t>Penalises large errors more heavily</t>
  </si>
  <si>
    <t>KEY TAKEAWAYS FOR THE BAKERY</t>
  </si>
  <si>
    <t>✓  Steady upward trend of ~4.5 additional loaves per week on average</t>
  </si>
  <si>
    <t>✓  ARIMA(1,1,1) captures the trend well — AR term picks up momentum, MA term corrects errors</t>
  </si>
  <si>
    <t>✓  The bakery should plan for ~335–349 loaves over the next 4 weeks</t>
  </si>
  <si>
    <t>✗  Forecast flattens beyond 4–6 weeks — re-estimate the model with new data regularly</t>
  </si>
  <si>
    <t>✗  ARIMA won't predict unexpected events (holiday surge, supply disruption, new competitor)</t>
  </si>
  <si>
    <t>CASE STUDY 2: AIRLINE MONTHLY PASSENGERS — SARIMA(0,1,1)(0,1,1)₁₂</t>
  </si>
  <si>
    <t>"SkyLine Regional Air" — a regional airline tracking monthly passengers (in thousands)</t>
  </si>
  <si>
    <t>Forecast passenger numbers for the next 12 months to plan crew, aircraft scheduling, and pricing</t>
  </si>
  <si>
    <t>36 months (3 years) of monthly passenger data with clear trend + strong seasonality (summer peak)</t>
  </si>
  <si>
    <t>SARIMA(0,1,1)(0,1,1)₁₂ — the "airline model" — one of the most famous ARIMA specifications in forecasting</t>
  </si>
  <si>
    <t>Why SARIMA?</t>
  </si>
  <si>
    <t>Data has BOTH an upward trend AND a repeating 12-month seasonal pattern. Regular ARIMA misses the seasonal cycle.</t>
  </si>
  <si>
    <t>STEP 1: RAW DATA — 3 Years of Monthly Passengers (000s)</t>
  </si>
  <si>
    <t>Passengers (000s)</t>
  </si>
  <si>
    <t>1st Diff (ΔYt)</t>
  </si>
  <si>
    <t>Seasonal Diff (Yt–Yt-12)</t>
  </si>
  <si>
    <t>Month-over-Month %</t>
  </si>
  <si>
    <t>Year-over-Year %</t>
  </si>
  <si>
    <t>STEP 2: SEASONAL PROFILE ANALYSIS</t>
  </si>
  <si>
    <t>3-Yr Average</t>
  </si>
  <si>
    <t>Pattern</t>
  </si>
  <si>
    <t>January</t>
  </si>
  <si>
    <t>❄️ Low season</t>
  </si>
  <si>
    <t>February</t>
  </si>
  <si>
    <t>March</t>
  </si>
  <si>
    <t>↗️ Spring uptick</t>
  </si>
  <si>
    <t>April</t>
  </si>
  <si>
    <t>May</t>
  </si>
  <si>
    <t>➖ Shoulder month</t>
  </si>
  <si>
    <t>June</t>
  </si>
  <si>
    <t>☀️ Summer surge begins</t>
  </si>
  <si>
    <t>July</t>
  </si>
  <si>
    <t>☀️ PEAK SEASON</t>
  </si>
  <si>
    <t>August</t>
  </si>
  <si>
    <t>September</t>
  </si>
  <si>
    <t>↘️ Fall decline</t>
  </si>
  <si>
    <t>October</t>
  </si>
  <si>
    <t>November</t>
  </si>
  <si>
    <t>December</t>
  </si>
  <si>
    <t>❄️ Holiday uptick</t>
  </si>
  <si>
    <t>STEP 3: WHY SARIMA(0,1,1)(0,1,1)₁₂?</t>
  </si>
  <si>
    <t>Component</t>
  </si>
  <si>
    <t>Why This Choice</t>
  </si>
  <si>
    <t>p (AR order)</t>
  </si>
  <si>
    <t>PACF of differenced series shows no significant spikes</t>
  </si>
  <si>
    <t>d (differencing)</t>
  </si>
  <si>
    <t>One regular difference to remove upward trend</t>
  </si>
  <si>
    <t>q (MA order)</t>
  </si>
  <si>
    <t>ACF shows one significant spike at lag 1</t>
  </si>
  <si>
    <t>P (seasonal AR)</t>
  </si>
  <si>
    <t>Seasonal PACF shows no significant spikes at seasonal lags</t>
  </si>
  <si>
    <t>D (seasonal diff)</t>
  </si>
  <si>
    <t>One seasonal difference (Yt – Yt-12) to remove repeating yearly pattern</t>
  </si>
  <si>
    <t>Q (seasonal MA)</t>
  </si>
  <si>
    <t>ACF at lag 12 is significant after seasonal differencing</t>
  </si>
  <si>
    <t>s (seasonal period)</t>
  </si>
  <si>
    <t>Monthly data → 12-month cycle (summer peak repeats every year)</t>
  </si>
  <si>
    <t>SARIMA Equation (simplified):</t>
  </si>
  <si>
    <t>Forecast = Last year same month + recent trend + error corrections</t>
  </si>
  <si>
    <t>Ŷt = Yt-1 + Yt-12 – Yt-13 + θ₁εt-1 + Θ₁εt-12 + θ₁Θ₁εt-13</t>
  </si>
  <si>
    <t>STEP 4: SARIMA FORECAST — Next 12 Months (2025)</t>
  </si>
  <si>
    <t>Last Yr Same Month</t>
  </si>
  <si>
    <t>YoY Growth (Avg)</t>
  </si>
  <si>
    <t>Season</t>
  </si>
  <si>
    <t>Business Action</t>
  </si>
  <si>
    <t>Low</t>
  </si>
  <si>
    <t>Reduced crew; off-peak pricing</t>
  </si>
  <si>
    <t>Continue off-peak operations</t>
  </si>
  <si>
    <t>Rising</t>
  </si>
  <si>
    <t>Begin spring schedule expansion</t>
  </si>
  <si>
    <t>Add frequency on popular routes</t>
  </si>
  <si>
    <t>Shoulder</t>
  </si>
  <si>
    <t>Ramp up crew training for summer</t>
  </si>
  <si>
    <t>Peak begins</t>
  </si>
  <si>
    <t>Full summer schedule; peak pricing active</t>
  </si>
  <si>
    <t>⭐ PEAK</t>
  </si>
  <si>
    <t>Maximum capacity; all hands on deck</t>
  </si>
  <si>
    <t>Maximum capacity; highest revenue month</t>
  </si>
  <si>
    <t>Declining</t>
  </si>
  <si>
    <t>Begin wind-down; reduce charter flights</t>
  </si>
  <si>
    <t>Cut back to base schedule</t>
  </si>
  <si>
    <t>Off-peak pricing; crew maintenance training</t>
  </si>
  <si>
    <t>Holiday bump</t>
  </si>
  <si>
    <t>Holiday travel surge; targeted promotions</t>
  </si>
  <si>
    <t>KEY TAKEAWAYS FOR THE AIRLINE</t>
  </si>
  <si>
    <t>✓  Clear 12-month seasonal cycle: summer peak (Jul-Aug ~170-190K) vs winter trough (Nov ~110-120K)</t>
  </si>
  <si>
    <t>✓  Steady annual growth of ~7-8% across all months — the airline is growing year over year</t>
  </si>
  <si>
    <t>✓  SARIMA correctly captures BOTH the seasonal pattern AND the growth trend simultaneously</t>
  </si>
  <si>
    <t>✓  Business actions can be planned months ahead: crew scheduling, pricing, maintenance windows</t>
  </si>
  <si>
    <t>✗  Model assumes future growth matches historical — won't predict route expansions, competitor entry, or fuel shocks</t>
  </si>
  <si>
    <t>✗  Only 3 years of data — ideally SARIMA needs 4-5 years (48-60 months) for robust seasonal estimation</t>
  </si>
  <si>
    <t>✗  Cannot account for one-off events (airline strike, volcanic ash cloud, pandemic disruption)</t>
  </si>
  <si>
    <t>Case Study 1</t>
  </si>
  <si>
    <t>Bakery Weekly Bread Sales — full ARIMA(1,1,1) walkthrough with data, differencing, fitting, forecast &amp; accuracy check</t>
  </si>
  <si>
    <t>Case Study 2</t>
  </si>
  <si>
    <t>Airline Monthly Passengers — SARIMA model with seasonal analysis, 12-month forecast &amp; business action plan</t>
  </si>
  <si>
    <t>NOTE: The parameters above (c, φ₁, θ₁) are illustrative assumed values for this educational demo. In practice, these can be optimised using Excel's Solver add-in by minimising the Sum of Squared Residuals (SSR) across the fitted values. Set the objective cell to =SUMPRODUCT(Residuals, Residuals), with the parameter cells (c, φ₁, θ₁) as changing variables, and Solver will find the best-fit coefficients — equivalent to Maximum Likelihood Estimation.</t>
  </si>
  <si>
    <t>⚠️ NOTE: Parameters above are illustrative. In practice, use Excel Solver (minimise Sum of Squared Residuals) to find optimal c, φ₁, θ₁ values.</t>
  </si>
  <si>
    <t>SOLVER DEMO: FINDING OPTIMAL ARIMA(1,1,1) PARAMETERS</t>
  </si>
  <si>
    <t>Use Excel Solver to minimise the Sum of Squared Residuals (SSR) and find the best-fit c, φ₁, θ₁ coefficients</t>
  </si>
  <si>
    <t>HOW IT WORKS</t>
  </si>
  <si>
    <t>Instead of guessing ARIMA parameters, Solver finds values that MINIMISE forecast errors.</t>
  </si>
  <si>
    <t>The objective: Minimise SSR = Σ(εt²) = sum of all squared residuals across the fitted period.</t>
  </si>
  <si>
    <t>Solver adjusts c, φ₁, and θ₁ simultaneously until it finds the combination that produces the smallest total error.</t>
  </si>
  <si>
    <t>This is mathematically equivalent to Maximum Likelihood Estimation (MLE) under the assumption of normally distributed errors.</t>
  </si>
  <si>
    <t>STEP 1: SET UP PARAMETER CELLS (Solver's "Changing Variable Cells")</t>
  </si>
  <si>
    <t>Initial Guess</t>
  </si>
  <si>
    <t>Solver will change these ↓</t>
  </si>
  <si>
    <t>← Start with a simple guess; Solver will find the optimal value</t>
  </si>
  <si>
    <t>← Constrain: –1 &lt; φ₁ &lt; 1 (stationarity requirement)</t>
  </si>
  <si>
    <t>← Constrain: –1 &lt; θ₁ &lt; 1 (invertibility requirement)</t>
  </si>
  <si>
    <t>STEP 2: DATA + FITTED VALUES (formulas reference the parameter cells above)</t>
  </si>
  <si>
    <t>Actual Sales</t>
  </si>
  <si>
    <t>Residual (εt)</t>
  </si>
  <si>
    <t>εt²</t>
  </si>
  <si>
    <t>STEP 3: OBJECTIVE CELL — Sum of Squared Residuals (SSR)</t>
  </si>
  <si>
    <t>SSR = Σ(εt²)</t>
  </si>
  <si>
    <t>← SOLVER MINIMISES THIS CELL</t>
  </si>
  <si>
    <t>Count of residuals</t>
  </si>
  <si>
    <t>Mean Squared Error</t>
  </si>
  <si>
    <t>Root MSE (RMSE)</t>
  </si>
  <si>
    <t>← Average forecast miss in loaves (after optimisation)</t>
  </si>
  <si>
    <t>STEP-BY-STEP SOLVER INSTRUCTIONS</t>
  </si>
  <si>
    <t>BEFORE YOU START:</t>
  </si>
  <si>
    <t>Enable Solver: File → Options → Add-ins → Manage: Excel Add-ins → Go → ☑ Solver Add-in</t>
  </si>
  <si>
    <t>(On Mac: Tools → Excel Add-ins → ☑ Solver Add-in)</t>
  </si>
  <si>
    <t>What to Enter</t>
  </si>
  <si>
    <t>Why</t>
  </si>
  <si>
    <t>Open Solver</t>
  </si>
  <si>
    <t>Data tab → Solver (in Analysis group)</t>
  </si>
  <si>
    <t>Opens the Solver Parameters dialog</t>
  </si>
  <si>
    <t>Set Objective</t>
  </si>
  <si>
    <t>Click "Set Objective" → select cell B43 (the SSR cell)</t>
  </si>
  <si>
    <t>This tells Solver WHAT to optimise</t>
  </si>
  <si>
    <t>Set to: Min</t>
  </si>
  <si>
    <t>Select the "Min" radio button</t>
  </si>
  <si>
    <t>We want to MINIMISE the total error</t>
  </si>
  <si>
    <t>Changing Variable Cells</t>
  </si>
  <si>
    <t>Select cells C14, C15, C16 (the 3 yellow cells)</t>
  </si>
  <si>
    <t>These are the parameters Solver will adjust</t>
  </si>
  <si>
    <t>Add Constraint 1</t>
  </si>
  <si>
    <t>C15 &gt;= -1  (AR coefficient lower bound)</t>
  </si>
  <si>
    <t>Stationarity: φ₁ must be between –1 and 1</t>
  </si>
  <si>
    <t>Add Constraint 2</t>
  </si>
  <si>
    <t>C15 &lt;= 1   (AR coefficient upper bound)</t>
  </si>
  <si>
    <t>Add Constraint 3</t>
  </si>
  <si>
    <t>C16 &gt;= -1  (MA coefficient lower bound)</t>
  </si>
  <si>
    <t>Invertibility: θ₁ must be between –1 and 1</t>
  </si>
  <si>
    <t>Add Constraint 4</t>
  </si>
  <si>
    <t>C16 &lt;= 1   (MA coefficient upper bound)</t>
  </si>
  <si>
    <t>Solving Method</t>
  </si>
  <si>
    <t>Select "GRG Nonlinear" from dropdown</t>
  </si>
  <si>
    <t>ARIMA is nonlinear in parameters due to MA terms</t>
  </si>
  <si>
    <t>Solve!</t>
  </si>
  <si>
    <t>Click "Solve" → Keep Solver Solution</t>
  </si>
  <si>
    <t>Solver updates C14:C16 with optimal values</t>
  </si>
  <si>
    <t>SOLVER DIALOG SUMMARY:</t>
  </si>
  <si>
    <t>Field</t>
  </si>
  <si>
    <t>Enter This</t>
  </si>
  <si>
    <t>Set Objective:</t>
  </si>
  <si>
    <t>$B$43</t>
  </si>
  <si>
    <t>To:</t>
  </si>
  <si>
    <t>Min</t>
  </si>
  <si>
    <t>By Changing:</t>
  </si>
  <si>
    <t>$C$14,$C$15,$C$16</t>
  </si>
  <si>
    <t>Subject to:</t>
  </si>
  <si>
    <t>$C$15 &gt;= -1, $C$15 &lt;= 1, $C$16 &gt;= -1, $C$16 &lt;= 1</t>
  </si>
  <si>
    <t>Method:</t>
  </si>
  <si>
    <t>GRG Nonlinear</t>
  </si>
  <si>
    <t>WHAT HAPPENS WHEN YOU CLICK SOLVE:</t>
  </si>
  <si>
    <t>Solver tries different values for c, φ₁, and θ₁</t>
  </si>
  <si>
    <t>Each combination recalculates ALL fitted values and residuals (columns D–G update live)</t>
  </si>
  <si>
    <t>The SSR in B43 changes with each iteration</t>
  </si>
  <si>
    <t>Solver stops when it finds the combination that makes SSR as small as possible</t>
  </si>
  <si>
    <t>The yellow cells (C14:C16) now contain the OPTIMAL parameters — no more guessing!</t>
  </si>
  <si>
    <t>💡 TIPS:</t>
  </si>
  <si>
    <t>• Try different initial guesses to confirm Solver finds the same answer (global vs local minimum)</t>
  </si>
  <si>
    <t>• If Solver says "cannot improve", try: Options → set Convergence to 0.00001 for more precision</t>
  </si>
  <si>
    <t>• Check residuals after solving: if they show patterns, the model order (p,d,q) may need changing</t>
  </si>
  <si>
    <t>• This approach works for ANY ARIMA(p,d,q) — just add more parameter cells and adjust the formulas</t>
  </si>
  <si>
    <t>• For SARIMA, add seasonal parameter cells (P, D, Q) and extend the formula to include seasonal lags</t>
  </si>
  <si>
    <t>STEP 4: COMPARE — Before vs After Solver</t>
  </si>
  <si>
    <t>Before (Guessed)</t>
  </si>
  <si>
    <t>After (Solver)</t>
  </si>
  <si>
    <t>c (constant)</t>
  </si>
  <si>
    <t>Base weekly growth rate (loaves)</t>
  </si>
  <si>
    <t>φ₁ (AR coeff)</t>
  </si>
  <si>
    <t>How much last week's change persists</t>
  </si>
  <si>
    <t>θ₁ (MA coeff)</t>
  </si>
  <si>
    <t>Error correction strength</t>
  </si>
  <si>
    <t>SSR (total error)</t>
  </si>
  <si>
    <t>(initial)</t>
  </si>
  <si>
    <t>← Run Solver to see this drop!</t>
  </si>
  <si>
    <t>RMSE</t>
  </si>
  <si>
    <t>← Average miss in loaves — should decrease after Solver</t>
  </si>
  <si>
    <t>⚠️  TRY IT: Change the yellow cells (C14:C16) manually and watch B43 change. Then run Solver to find the best values!</t>
  </si>
  <si>
    <t>Solver Demo</t>
  </si>
  <si>
    <t>Hands-on demo — use Excel Solver to find optimal ARIMA parameters by minimising Sum of Squared Residuals (SSR)</t>
  </si>
  <si>
    <t>STATIONARITY CHECK: USING LAGS, ACF &amp; DIFFERENCING</t>
  </si>
  <si>
    <t>A step-by-step illustration of how to test whether a time series is stationary — the critical prerequisite for ARIMA</t>
  </si>
  <si>
    <t>WHY DOES THIS MATTER?</t>
  </si>
  <si>
    <t>ARIMA requires STATIONARY data. A stationary series has:</t>
  </si>
  <si>
    <t xml:space="preserve">  • Constant mean (no trend)</t>
  </si>
  <si>
    <t xml:space="preserve">  • Constant variance (spread doesn't change over time)</t>
  </si>
  <si>
    <t xml:space="preserve">  • Constant autocorrelation structure (relationship between lags is stable)</t>
  </si>
  <si>
    <t>If the series is NOT stationary, ARIMA coefficients are unreliable and forecasts will be poor.</t>
  </si>
  <si>
    <t>This sheet demonstrates how to CHECK stationarity using lagged values and correlation, then FIX it with differencing.</t>
  </si>
  <si>
    <t>STEP 1: RAW DATA + LAGGED VALUES</t>
  </si>
  <si>
    <t>Period (t)</t>
  </si>
  <si>
    <t>Yt (Original)</t>
  </si>
  <si>
    <t>Yt-1 (Lag 1)</t>
  </si>
  <si>
    <t>Yt-2 (Lag 2)</t>
  </si>
  <si>
    <t>Yt-3 (Lag 3)</t>
  </si>
  <si>
    <t>Yt-4 (Lag 4)</t>
  </si>
  <si>
    <t>STEP 2: AUTOCORRELATION (ACF) — Correlation at Each Lag</t>
  </si>
  <si>
    <t>Lag</t>
  </si>
  <si>
    <t>Correlation (r)</t>
  </si>
  <si>
    <t>Stationary?</t>
  </si>
  <si>
    <t>Lag 0</t>
  </si>
  <si>
    <t>Always = 1 (a value is perfectly correlated with itself)</t>
  </si>
  <si>
    <t>—</t>
  </si>
  <si>
    <t>Lag 1</t>
  </si>
  <si>
    <t>Very high → strong linear dependence on previous period</t>
  </si>
  <si>
    <t>❌ NO</t>
  </si>
  <si>
    <t>Lag 2</t>
  </si>
  <si>
    <t>Still very high → indirect correlation through Lag 1</t>
  </si>
  <si>
    <t>Lag 3</t>
  </si>
  <si>
    <t>High correlations that decay SLOWLY = non-stationary signal</t>
  </si>
  <si>
    <t>Lag 4</t>
  </si>
  <si>
    <t>Still high at lag 4 — confirms a strong trend is present</t>
  </si>
  <si>
    <t>🚩 DIAGNOSIS: ACF decays SLOWLY → the series is NON-STATIONARY</t>
  </si>
  <si>
    <t>Rule: In a stationary series, ACF drops to near-zero quickly (within 2–3 lags).</t>
  </si>
  <si>
    <t>Here all 4 lags show r &gt; 0.9 → strong trend dominates → must DIFFERENCE the data.</t>
  </si>
  <si>
    <t>STEP 3: APPLY FIRST DIFFERENCING (d=1) — Then Recheck with Lags</t>
  </si>
  <si>
    <t>ΔYt = Yt – Yt-1</t>
  </si>
  <si>
    <t>ΔYt-1 (Lag 1)</t>
  </si>
  <si>
    <t>ΔYt-2 (Lag 2)</t>
  </si>
  <si>
    <t>ΔYt-3 (Lag 3)</t>
  </si>
  <si>
    <t>ΔYt-4 (Lag 4)</t>
  </si>
  <si>
    <t>STEP 4: ACF OF DIFFERENCED SERIES — Recheck After Fix</t>
  </si>
  <si>
    <t>Always = 1</t>
  </si>
  <si>
    <t>Low / near-zero → no persistent linear dependence</t>
  </si>
  <si>
    <t>✅ YES</t>
  </si>
  <si>
    <t>Low → lagged differences are not strongly related</t>
  </si>
  <si>
    <t>Near-zero → no significant autocorrelation at lag 3</t>
  </si>
  <si>
    <t>Near-zero → confirms stationarity after differencing!</t>
  </si>
  <si>
    <t>✅ DIAGNOSIS: ACF drops quickly to near-zero → STATIONARY after d=1</t>
  </si>
  <si>
    <t>The differenced series fluctuates around a constant mean with no trend → ready for ARIMA.</t>
  </si>
  <si>
    <t>Statistic</t>
  </si>
  <si>
    <t>Original (Yt)</t>
  </si>
  <si>
    <t>Differenced (ΔYt)</t>
  </si>
  <si>
    <t>What to Look For</t>
  </si>
  <si>
    <t>Original mean is meaningless (trending); differenced mean ≈ constant growth rate</t>
  </si>
  <si>
    <t>Variance of differenced series is much smaller and STABLE over time</t>
  </si>
  <si>
    <t>Max</t>
  </si>
  <si>
    <t>Dropped from ~0.96 to near 0 → trend removed successfully!</t>
  </si>
  <si>
    <t>ACF Pattern</t>
  </si>
  <si>
    <t>Decays slowly (high r at many lags)</t>
  </si>
  <si>
    <t>Series has a TREND — mean is not constant</t>
  </si>
  <si>
    <t>Apply differencing (d=1 or d=2)</t>
  </si>
  <si>
    <t>Drops quickly then near-zero</t>
  </si>
  <si>
    <t>Series fluctuates around a stable mean → stationary!</t>
  </si>
  <si>
    <t>Ready for ARIMA — proceed to fit model</t>
  </si>
  <si>
    <t>Spike at lag s, 2s, 3s (e.g., 12, 24, 36)</t>
  </si>
  <si>
    <t>SEASONAL pattern repeating every s periods</t>
  </si>
  <si>
    <t>Apply SEASONAL differencing (D=1, period=s)</t>
  </si>
  <si>
    <t>Alternating positive / negative</t>
  </si>
  <si>
    <t>Possible over-differencing (d too high)</t>
  </si>
  <si>
    <t>⚠️ Check</t>
  </si>
  <si>
    <t>Try reducing d by 1 — simpler model may work</t>
  </si>
  <si>
    <t>Single spike at lag 1, rest near-zero</t>
  </si>
  <si>
    <t>Suggests MA(1) model → set q=1</t>
  </si>
  <si>
    <t>Use ACF to determine q (MA order)</t>
  </si>
  <si>
    <t>PACF QUICK GUIDE (for determining p — the AR order):</t>
  </si>
  <si>
    <t>• PACF cuts off sharply after lag k → set p = k (AR order)</t>
  </si>
  <si>
    <t>• PACF decays gradually → AR component is not dominant; focus on MA (q) via ACF</t>
  </si>
  <si>
    <t>• Both ACF and PACF decay → likely need BOTH AR and MA terms (use AIC/BIC to choose)</t>
  </si>
  <si>
    <t>• Significance threshold ≈ ± 2/√n  (where n = number of observations). Spikes outside this band are significant.</t>
  </si>
  <si>
    <t>Significance Threshold for this data:</t>
  </si>
  <si>
    <t>← Correlations above this (in absolute value) are statistically significant</t>
  </si>
  <si>
    <t>Stationarity Check</t>
  </si>
  <si>
    <t>Hands-on lag analysis — check stationarity using autocorrelation, apply differencing, and verify with ACF/PACF guide</t>
  </si>
  <si>
    <t>📝 WHY DO WE CALCULATE CORRELATION OF THE DIFFERENCED SERIES?</t>
  </si>
  <si>
    <t>The Problem:</t>
  </si>
  <si>
    <t>When the original series has a trend, the autocorrelation at ALL lags will be artificially high — not because today's value</t>
  </si>
  <si>
    <t>truly "predicts" 4 periods ahead, but simply because both are riding the same upward wave. This is called SPURIOUS</t>
  </si>
  <si>
    <t>CORRELATION. The lag correlations are dominated by the trend, masking the real short-term dynamics we need for ARIMA.</t>
  </si>
  <si>
    <t>The Fix:</t>
  </si>
  <si>
    <t>Differencing (Yt – Yt-1) removes the trend, leaving only the period-to-period CHANGES. Now when we calculate</t>
  </si>
  <si>
    <t>autocorrelation on the differenced series, we see the TRUE dependency structure:</t>
  </si>
  <si>
    <t xml:space="preserve">  • If lag-1 correlation of ΔYt is significant → this week's change predicts next week's change → AR(1) may be needed</t>
  </si>
  <si>
    <t xml:space="preserve">  • If lag-1 correlation drops to zero → changes are random → no AR term needed (possibly just MA)</t>
  </si>
  <si>
    <t xml:space="preserve">  • If ALL lag correlations are near zero → changes are pure white noise → random walk / ARIMA(0,1,0)</t>
  </si>
  <si>
    <t>In short:</t>
  </si>
  <si>
    <t>Correlating the ORIGINAL series tells you "is there a trend?" (yes/no).</t>
  </si>
  <si>
    <t>Correlating the DIFFERENCED series tells you "what kind of ARIMA model do I need?" (p and q values).</t>
  </si>
  <si>
    <t>This is why checking ACF of the differenced series is the essential second step in the Box-Jenkins methodology.</t>
  </si>
  <si>
    <t xml:space="preserve">Stock </t>
  </si>
  <si>
    <t>SBIN</t>
  </si>
  <si>
    <t>Start Date</t>
  </si>
  <si>
    <t>End Date</t>
  </si>
  <si>
    <t>Frequency</t>
  </si>
  <si>
    <t>Residual ^2</t>
  </si>
  <si>
    <t>Minimize Res^2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</si>
</sst>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
    <numFmt numFmtId="168" formatCode="0.000"/>
  </numFmts>
  <fonts count="75" x14ac:knownFonts="1">
    <font>
      <sz val="12"/>
      <color theme="1"/>
      <name val="Aptos Narrow"/>
      <family val="2"/>
      <scheme val="minor"/>
    </font>
    <font>
      <u/>
      <sz val="12"/>
      <color theme="10"/>
      <name val="Aptos Narrow"/>
      <family val="2"/>
      <scheme val="minor"/>
    </font>
    <font>
      <sz val="11"/>
      <color theme="1"/>
      <name val="Aptos Narrow"/>
      <family val="2"/>
      <scheme val="minor"/>
    </font>
    <font>
      <b/>
      <sz val="22"/>
      <color rgb="FF1F4E79"/>
      <name val="Calibri"/>
      <family val="2"/>
    </font>
    <font>
      <sz val="22"/>
      <color theme="1"/>
      <name val="Aptos Narrow"/>
      <family val="2"/>
      <scheme val="minor"/>
    </font>
    <font>
      <i/>
      <sz val="22"/>
      <color rgb="FF4472C4"/>
      <name val="Calibri"/>
      <family val="2"/>
    </font>
    <font>
      <b/>
      <sz val="22"/>
      <color rgb="FFFFFFFF"/>
      <name val="Calibri"/>
      <family val="2"/>
    </font>
    <font>
      <b/>
      <sz val="22"/>
      <color rgb="FF1F4E79"/>
      <name val="Aptos Narrow"/>
      <family val="2"/>
      <scheme val="minor"/>
    </font>
    <font>
      <u/>
      <sz val="22"/>
      <color theme="10"/>
      <name val="Aptos Narrow"/>
      <family val="2"/>
      <scheme val="minor"/>
    </font>
    <font>
      <b/>
      <sz val="13"/>
      <color rgb="FFFFFFFF"/>
      <name val="Aptos Narrow"/>
      <family val="2"/>
      <scheme val="minor"/>
    </font>
    <font>
      <b/>
      <sz val="11"/>
      <color theme="1"/>
      <name val="Aptos Narrow"/>
      <family val="2"/>
      <scheme val="minor"/>
    </font>
    <font>
      <b/>
      <sz val="22"/>
      <color rgb="FF2E75B6"/>
      <name val="Calibri"/>
      <family val="2"/>
    </font>
    <font>
      <b/>
      <sz val="22"/>
      <color rgb="FFFFFFFF"/>
      <name val="Aptos Narrow"/>
      <family val="2"/>
      <scheme val="minor"/>
    </font>
    <font>
      <b/>
      <sz val="22"/>
      <color theme="1"/>
      <name val="Aptos Narrow"/>
      <family val="2"/>
      <scheme val="minor"/>
    </font>
    <font>
      <b/>
      <sz val="22"/>
      <color rgb="FF2E75B6"/>
      <name val="Aptos Narrow"/>
      <family val="2"/>
      <scheme val="minor"/>
    </font>
    <font>
      <b/>
      <sz val="11"/>
      <color rgb="FFFFFFFF"/>
      <name val="Aptos Narrow"/>
      <family val="2"/>
      <scheme val="minor"/>
    </font>
    <font>
      <i/>
      <sz val="22"/>
      <color theme="1"/>
      <name val="Aptos Narrow"/>
      <family val="2"/>
      <scheme val="minor"/>
    </font>
    <font>
      <b/>
      <sz val="22"/>
      <color rgb="FF2E75B6"/>
      <name val="Consolas"/>
      <family val="2"/>
    </font>
    <font>
      <sz val="22"/>
      <color theme="1"/>
      <name val="Consolas"/>
      <family val="2"/>
    </font>
    <font>
      <u/>
      <sz val="22"/>
      <color rgb="FF2E75B6"/>
      <name val="Aptos Narrow"/>
      <family val="2"/>
      <scheme val="minor"/>
    </font>
    <font>
      <sz val="10"/>
      <color rgb="FF000000"/>
      <name val="Tahoma"/>
      <family val="2"/>
    </font>
    <font>
      <b/>
      <sz val="10"/>
      <color rgb="FF000000"/>
      <name val="Tahoma"/>
      <family val="2"/>
    </font>
    <font>
      <b/>
      <sz val="22"/>
      <color rgb="FF548235"/>
      <name val="Calibri"/>
      <family val="2"/>
    </font>
    <font>
      <i/>
      <sz val="22"/>
      <color rgb="FF70AD47"/>
      <name val="Aptos Narrow"/>
      <family val="2"/>
      <scheme val="minor"/>
    </font>
    <font>
      <sz val="22"/>
      <color rgb="FF0000FF"/>
      <name val="Aptos Narrow"/>
      <family val="2"/>
      <scheme val="minor"/>
    </font>
    <font>
      <b/>
      <sz val="22"/>
      <color rgb="FF548235"/>
      <name val="Aptos Narrow"/>
      <family val="2"/>
      <scheme val="minor"/>
    </font>
    <font>
      <sz val="22"/>
      <color rgb="FF808080"/>
      <name val="Aptos Narrow"/>
      <family val="2"/>
      <scheme val="minor"/>
    </font>
    <font>
      <i/>
      <sz val="22"/>
      <color rgb="FF808080"/>
      <name val="Aptos Narrow"/>
      <family val="2"/>
      <scheme val="minor"/>
    </font>
    <font>
      <u/>
      <sz val="22"/>
      <color rgb="FF548235"/>
      <name val="Aptos Narrow"/>
      <family val="2"/>
      <scheme val="minor"/>
    </font>
    <font>
      <b/>
      <sz val="22"/>
      <color rgb="FFBF8F00"/>
      <name val="Calibri"/>
      <family val="2"/>
    </font>
    <font>
      <i/>
      <sz val="22"/>
      <color rgb="FFBF8F00"/>
      <name val="Aptos Narrow"/>
      <family val="2"/>
      <scheme val="minor"/>
    </font>
    <font>
      <b/>
      <sz val="22"/>
      <color rgb="FFC00000"/>
      <name val="Aptos Narrow"/>
      <family val="2"/>
      <scheme val="minor"/>
    </font>
    <font>
      <b/>
      <sz val="22"/>
      <color rgb="FFBF8F00"/>
      <name val="Aptos Narrow"/>
      <family val="2"/>
      <scheme val="minor"/>
    </font>
    <font>
      <u/>
      <sz val="22"/>
      <color rgb="FFBF8F00"/>
      <name val="Aptos Narrow"/>
      <family val="2"/>
      <scheme val="minor"/>
    </font>
    <font>
      <b/>
      <sz val="22"/>
      <color rgb="FFC00000"/>
      <name val="Calibri"/>
      <family val="2"/>
    </font>
    <font>
      <i/>
      <sz val="22"/>
      <color rgb="FFC00000"/>
      <name val="Aptos Narrow"/>
      <family val="2"/>
      <scheme val="minor"/>
    </font>
    <font>
      <b/>
      <sz val="22"/>
      <color rgb="FFC00000"/>
      <name val="Consolas"/>
      <family val="2"/>
    </font>
    <font>
      <u/>
      <sz val="22"/>
      <color rgb="FFC00000"/>
      <name val="Aptos Narrow"/>
      <family val="2"/>
      <scheme val="minor"/>
    </font>
    <font>
      <b/>
      <sz val="22"/>
      <color rgb="FF7030A0"/>
      <name val="Calibri"/>
      <family val="2"/>
    </font>
    <font>
      <u/>
      <sz val="11"/>
      <color rgb="FF7030A0"/>
      <name val="Aptos Narrow"/>
      <family val="2"/>
      <scheme val="minor"/>
    </font>
    <font>
      <b/>
      <sz val="22"/>
      <color rgb="FFED7D31"/>
      <name val="Calibri"/>
      <family val="2"/>
    </font>
    <font>
      <i/>
      <sz val="22"/>
      <color rgb="FFED7D31"/>
      <name val="Aptos Narrow"/>
      <family val="2"/>
      <scheme val="minor"/>
    </font>
    <font>
      <b/>
      <sz val="22"/>
      <color rgb="FFED7D31"/>
      <name val="Aptos Narrow"/>
      <family val="2"/>
      <scheme val="minor"/>
    </font>
    <font>
      <u/>
      <sz val="22"/>
      <color rgb="FFED7D31"/>
      <name val="Aptos Narrow"/>
      <family val="2"/>
      <scheme val="minor"/>
    </font>
    <font>
      <b/>
      <sz val="22"/>
      <color rgb="FF0070C0"/>
      <name val="Calibri"/>
      <family val="2"/>
    </font>
    <font>
      <b/>
      <sz val="22"/>
      <color rgb="FF0070C0"/>
      <name val="Aptos Narrow"/>
      <family val="2"/>
      <scheme val="minor"/>
    </font>
    <font>
      <b/>
      <sz val="22"/>
      <color rgb="FF0070C0"/>
      <name val="Consolas"/>
      <family val="2"/>
    </font>
    <font>
      <sz val="22"/>
      <color rgb="FF0070C0"/>
      <name val="Aptos Narrow"/>
      <family val="2"/>
      <scheme val="minor"/>
    </font>
    <font>
      <sz val="22"/>
      <color rgb="FF548235"/>
      <name val="Aptos Narrow"/>
      <family val="2"/>
      <scheme val="minor"/>
    </font>
    <font>
      <sz val="22"/>
      <color rgb="FFC00000"/>
      <name val="Aptos Narrow"/>
      <family val="2"/>
      <scheme val="minor"/>
    </font>
    <font>
      <u/>
      <sz val="22"/>
      <color rgb="FF0070C0"/>
      <name val="Aptos Narrow"/>
      <family val="2"/>
      <scheme val="minor"/>
    </font>
    <font>
      <b/>
      <sz val="22"/>
      <color rgb="FF00B050"/>
      <name val="Calibri"/>
      <family val="2"/>
    </font>
    <font>
      <b/>
      <sz val="22"/>
      <color rgb="FF00B050"/>
      <name val="Aptos Narrow"/>
      <family val="2"/>
      <scheme val="minor"/>
    </font>
    <font>
      <sz val="22"/>
      <color rgb="FFBF8F00"/>
      <name val="Aptos Narrow"/>
      <family val="2"/>
      <scheme val="minor"/>
    </font>
    <font>
      <sz val="22"/>
      <color rgb="FFED7D31"/>
      <name val="Aptos Narrow"/>
      <family val="2"/>
      <scheme val="minor"/>
    </font>
    <font>
      <b/>
      <sz val="22"/>
      <color rgb="FF00B050"/>
      <name val="Consolas"/>
      <family val="2"/>
    </font>
    <font>
      <sz val="22"/>
      <color rgb="FF00B050"/>
      <name val="Aptos Narrow"/>
      <family val="2"/>
      <scheme val="minor"/>
    </font>
    <font>
      <u/>
      <sz val="22"/>
      <color rgb="FF00B050"/>
      <name val="Aptos Narrow"/>
      <family val="2"/>
      <scheme val="minor"/>
    </font>
    <font>
      <i/>
      <sz val="10"/>
      <color rgb="FF7030A0"/>
      <name val="Aptos Narrow"/>
      <family val="2"/>
      <scheme val="minor"/>
    </font>
    <font>
      <b/>
      <i/>
      <sz val="22"/>
      <color rgb="FF7030A0"/>
      <name val="Aptos Narrow"/>
      <family val="2"/>
      <scheme val="minor"/>
    </font>
    <font>
      <b/>
      <sz val="22"/>
      <color rgb="FFFF6600"/>
      <name val="Calibri"/>
      <family val="2"/>
    </font>
    <font>
      <i/>
      <sz val="22"/>
      <color rgb="FFFF6600"/>
      <name val="Aptos Narrow"/>
      <family val="2"/>
      <scheme val="minor"/>
    </font>
    <font>
      <b/>
      <sz val="22"/>
      <color rgb="FF0000FF"/>
      <name val="Aptos Narrow"/>
      <family val="2"/>
      <scheme val="minor"/>
    </font>
    <font>
      <b/>
      <sz val="22"/>
      <color rgb="FF0000FF"/>
      <name val="Consolas"/>
      <family val="2"/>
    </font>
    <font>
      <b/>
      <sz val="22"/>
      <color rgb="FFFF6600"/>
      <name val="Aptos Narrow"/>
      <family val="2"/>
      <scheme val="minor"/>
    </font>
    <font>
      <b/>
      <sz val="22"/>
      <color rgb="FF003366"/>
      <name val="Calibri"/>
      <family val="2"/>
    </font>
    <font>
      <i/>
      <sz val="22"/>
      <color rgb="FF003366"/>
      <name val="Aptos Narrow"/>
      <family val="2"/>
      <scheme val="minor"/>
    </font>
    <font>
      <b/>
      <sz val="22"/>
      <color rgb="FF003366"/>
      <name val="Aptos Narrow"/>
      <family val="2"/>
      <scheme val="minor"/>
    </font>
    <font>
      <u/>
      <sz val="22"/>
      <color rgb="FF003366"/>
      <name val="Aptos Narrow"/>
      <family val="2"/>
      <scheme val="minor"/>
    </font>
    <font>
      <b/>
      <sz val="22"/>
      <color rgb="FF005A9E"/>
      <name val="Calibri"/>
      <family val="2"/>
    </font>
    <font>
      <i/>
      <sz val="22"/>
      <color rgb="FF005A9E"/>
      <name val="Aptos Narrow"/>
      <family val="2"/>
      <scheme val="minor"/>
    </font>
    <font>
      <b/>
      <sz val="22"/>
      <color rgb="FF005A9E"/>
      <name val="Aptos Narrow"/>
      <family val="2"/>
      <scheme val="minor"/>
    </font>
    <font>
      <u/>
      <sz val="22"/>
      <color rgb="FF005A9E"/>
      <name val="Aptos Narrow"/>
      <family val="2"/>
      <scheme val="minor"/>
    </font>
    <font>
      <sz val="22"/>
      <color rgb="FFFF0000"/>
      <name val="Consolas"/>
      <family val="2"/>
    </font>
    <font>
      <sz val="22"/>
      <color rgb="FF0432FF"/>
      <name val="Aptos Narrow"/>
      <family val="2"/>
      <scheme val="minor"/>
    </font>
  </fonts>
  <fills count="45">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E9F0F7"/>
        <bgColor indexed="64"/>
      </patternFill>
    </fill>
    <fill>
      <patternFill patternType="solid">
        <fgColor rgb="FF4472C4"/>
        <bgColor indexed="64"/>
      </patternFill>
    </fill>
    <fill>
      <patternFill patternType="solid">
        <fgColor rgb="FF548235"/>
        <bgColor indexed="64"/>
      </patternFill>
    </fill>
    <fill>
      <patternFill patternType="solid">
        <fgColor rgb="FFE2EFDA"/>
        <bgColor indexed="64"/>
      </patternFill>
    </fill>
    <fill>
      <patternFill patternType="solid">
        <fgColor rgb="FFBF8F00"/>
        <bgColor indexed="64"/>
      </patternFill>
    </fill>
    <fill>
      <patternFill patternType="solid">
        <fgColor rgb="FFFFF2CC"/>
        <bgColor indexed="64"/>
      </patternFill>
    </fill>
    <fill>
      <patternFill patternType="solid">
        <fgColor rgb="FFC00000"/>
        <bgColor indexed="64"/>
      </patternFill>
    </fill>
    <fill>
      <patternFill patternType="solid">
        <fgColor rgb="FFFCE4EC"/>
        <bgColor indexed="64"/>
      </patternFill>
    </fill>
    <fill>
      <patternFill patternType="solid">
        <fgColor rgb="FF7030A0"/>
        <bgColor indexed="64"/>
      </patternFill>
    </fill>
    <fill>
      <patternFill patternType="solid">
        <fgColor rgb="FF8B5FCF"/>
        <bgColor indexed="64"/>
      </patternFill>
    </fill>
    <fill>
      <patternFill patternType="solid">
        <fgColor rgb="FFE8DAEF"/>
        <bgColor indexed="64"/>
      </patternFill>
    </fill>
    <fill>
      <patternFill patternType="solid">
        <fgColor rgb="FFF3ECF7"/>
        <bgColor indexed="64"/>
      </patternFill>
    </fill>
    <fill>
      <patternFill patternType="solid">
        <fgColor rgb="FF70AD47"/>
        <bgColor indexed="64"/>
      </patternFill>
    </fill>
    <fill>
      <patternFill patternType="solid">
        <fgColor rgb="FFF0F7EB"/>
        <bgColor indexed="64"/>
      </patternFill>
    </fill>
    <fill>
      <patternFill patternType="solid">
        <fgColor rgb="FFE04040"/>
        <bgColor indexed="64"/>
      </patternFill>
    </fill>
    <fill>
      <patternFill patternType="solid">
        <fgColor rgb="FFFCEAEA"/>
        <bgColor indexed="64"/>
      </patternFill>
    </fill>
    <fill>
      <patternFill patternType="solid">
        <fgColor rgb="FFFDF2F2"/>
        <bgColor indexed="64"/>
      </patternFill>
    </fill>
    <fill>
      <patternFill patternType="solid">
        <fgColor rgb="FFED7D31"/>
        <bgColor indexed="64"/>
      </patternFill>
    </fill>
    <fill>
      <patternFill patternType="solid">
        <fgColor rgb="FFFBE5D0"/>
        <bgColor indexed="64"/>
      </patternFill>
    </fill>
    <fill>
      <patternFill patternType="solid">
        <fgColor rgb="FF0070C0"/>
        <bgColor indexed="64"/>
      </patternFill>
    </fill>
    <fill>
      <patternFill patternType="solid">
        <fgColor rgb="FFD6E8F7"/>
        <bgColor indexed="64"/>
      </patternFill>
    </fill>
    <fill>
      <patternFill patternType="solid">
        <fgColor rgb="FF4A90C4"/>
        <bgColor indexed="64"/>
      </patternFill>
    </fill>
    <fill>
      <patternFill patternType="solid">
        <fgColor rgb="FFE8F1FA"/>
        <bgColor indexed="64"/>
      </patternFill>
    </fill>
    <fill>
      <patternFill patternType="solid">
        <fgColor rgb="FFF3F8FC"/>
        <bgColor indexed="64"/>
      </patternFill>
    </fill>
    <fill>
      <patternFill patternType="solid">
        <fgColor rgb="FF00B050"/>
        <bgColor indexed="64"/>
      </patternFill>
    </fill>
    <fill>
      <patternFill patternType="solid">
        <fgColor rgb="FFD5F0DF"/>
        <bgColor indexed="64"/>
      </patternFill>
    </fill>
    <fill>
      <patternFill patternType="solid">
        <fgColor rgb="FF4CAF50"/>
        <bgColor indexed="64"/>
      </patternFill>
    </fill>
    <fill>
      <patternFill patternType="solid">
        <fgColor rgb="FFE8F5E9"/>
        <bgColor indexed="64"/>
      </patternFill>
    </fill>
    <fill>
      <patternFill patternType="solid">
        <fgColor rgb="FFF1F8F2"/>
        <bgColor indexed="64"/>
      </patternFill>
    </fill>
    <fill>
      <patternFill patternType="solid">
        <fgColor rgb="FFFFE8D1"/>
        <bgColor indexed="64"/>
      </patternFill>
    </fill>
    <fill>
      <patternFill patternType="solid">
        <fgColor rgb="FFFFFF00"/>
        <bgColor indexed="64"/>
      </patternFill>
    </fill>
    <fill>
      <patternFill patternType="solid">
        <fgColor rgb="FF808080"/>
        <bgColor indexed="64"/>
      </patternFill>
    </fill>
    <fill>
      <patternFill patternType="solid">
        <fgColor rgb="FF003366"/>
        <bgColor indexed="64"/>
      </patternFill>
    </fill>
    <fill>
      <patternFill patternType="solid">
        <fgColor rgb="FF004D80"/>
        <bgColor indexed="64"/>
      </patternFill>
    </fill>
    <fill>
      <patternFill patternType="solid">
        <fgColor rgb="FF005A9E"/>
        <bgColor indexed="64"/>
      </patternFill>
    </fill>
    <fill>
      <patternFill patternType="solid">
        <fgColor rgb="FFD0E2F3"/>
        <bgColor indexed="64"/>
      </patternFill>
    </fill>
    <fill>
      <patternFill patternType="solid">
        <fgColor rgb="FF3A7ABF"/>
        <bgColor indexed="64"/>
      </patternFill>
    </fill>
    <fill>
      <patternFill patternType="solid">
        <fgColor rgb="FFFFF8E1"/>
        <bgColor indexed="64"/>
      </patternFill>
    </fill>
    <fill>
      <patternFill patternType="solid">
        <fgColor theme="0"/>
        <bgColor indexed="64"/>
      </patternFill>
    </fill>
    <fill>
      <patternFill patternType="solid">
        <fgColor theme="2" tint="-0.499984740745262"/>
        <bgColor indexed="64"/>
      </patternFill>
    </fill>
  </fills>
  <borders count="8">
    <border>
      <left/>
      <right/>
      <top/>
      <bottom/>
      <diagonal/>
    </border>
    <border>
      <left/>
      <right/>
      <top style="thin">
        <color rgb="FFD6E4F0"/>
      </top>
      <bottom style="thin">
        <color rgb="FFD6E4F0"/>
      </bottom>
      <diagonal/>
    </border>
    <border>
      <left/>
      <right/>
      <top style="thin">
        <color rgb="FFD6E4F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ck">
        <color rgb="FFC00000"/>
      </right>
      <top style="thick">
        <color rgb="FFC00000"/>
      </top>
      <bottom style="thick">
        <color rgb="FFC00000"/>
      </bottom>
      <diagonal/>
    </border>
    <border>
      <left style="thick">
        <color rgb="FF003366"/>
      </left>
      <right style="thick">
        <color rgb="FF003366"/>
      </right>
      <top style="thick">
        <color rgb="FF003366"/>
      </top>
      <bottom style="thick">
        <color rgb="FF003366"/>
      </bottom>
      <diagonal/>
    </border>
    <border>
      <left style="thick">
        <color rgb="FF003366"/>
      </left>
      <right style="thick">
        <color rgb="FF003366"/>
      </right>
      <top style="thick">
        <color rgb="FF003366"/>
      </top>
      <bottom/>
      <diagonal/>
    </border>
  </borders>
  <cellStyleXfs count="2">
    <xf numFmtId="0" fontId="0" fillId="0" borderId="0"/>
    <xf numFmtId="0" fontId="1" fillId="0" borderId="0" applyNumberFormat="0" applyFill="0" applyBorder="0" applyAlignment="0" applyProtection="0"/>
  </cellStyleXfs>
  <cellXfs count="283">
    <xf numFmtId="0" fontId="0" fillId="0" borderId="0" xfId="0"/>
    <xf numFmtId="0" fontId="4" fillId="0" borderId="0" xfId="0" applyFont="1"/>
    <xf numFmtId="0" fontId="6" fillId="2" borderId="0" xfId="0" applyFont="1" applyFill="1"/>
    <xf numFmtId="0" fontId="4" fillId="2" borderId="0" xfId="0" applyFont="1" applyFill="1"/>
    <xf numFmtId="0" fontId="7" fillId="3" borderId="0" xfId="0" applyFont="1" applyFill="1" applyAlignment="1">
      <alignment horizontal="center"/>
    </xf>
    <xf numFmtId="0" fontId="7" fillId="3" borderId="0" xfId="0" applyFont="1" applyFill="1"/>
    <xf numFmtId="0" fontId="4" fillId="0" borderId="0" xfId="0" applyFont="1" applyAlignment="1">
      <alignment horizontal="center"/>
    </xf>
    <xf numFmtId="0" fontId="8" fillId="0" borderId="0" xfId="1" applyFont="1" applyBorder="1"/>
    <xf numFmtId="0" fontId="4" fillId="0" borderId="2" xfId="0" applyFont="1" applyBorder="1" applyAlignment="1">
      <alignment horizontal="center"/>
    </xf>
    <xf numFmtId="0" fontId="8" fillId="0" borderId="2" xfId="1" applyFont="1" applyBorder="1"/>
    <xf numFmtId="0" fontId="4" fillId="0" borderId="2" xfId="0" applyFont="1" applyBorder="1"/>
    <xf numFmtId="0" fontId="12" fillId="4" borderId="0" xfId="0" applyFont="1" applyFill="1"/>
    <xf numFmtId="0" fontId="4" fillId="4" borderId="0" xfId="0" applyFont="1" applyFill="1"/>
    <xf numFmtId="0" fontId="13" fillId="0" borderId="0" xfId="0" applyFont="1"/>
    <xf numFmtId="0" fontId="14" fillId="0" borderId="0" xfId="0" applyFont="1"/>
    <xf numFmtId="0" fontId="12" fillId="4" borderId="0" xfId="0" applyFont="1" applyFill="1" applyAlignment="1">
      <alignment horizontal="center"/>
    </xf>
    <xf numFmtId="0" fontId="14" fillId="3" borderId="0" xfId="0" applyFont="1" applyFill="1" applyAlignment="1">
      <alignment horizontal="center"/>
    </xf>
    <xf numFmtId="0" fontId="13" fillId="3" borderId="0" xfId="0" applyFont="1" applyFill="1"/>
    <xf numFmtId="0" fontId="4" fillId="3" borderId="0" xfId="0" applyFont="1" applyFill="1"/>
    <xf numFmtId="0" fontId="16" fillId="3" borderId="0" xfId="0" applyFont="1" applyFill="1"/>
    <xf numFmtId="0" fontId="14" fillId="5" borderId="0" xfId="0" applyFont="1" applyFill="1" applyAlignment="1">
      <alignment horizontal="center"/>
    </xf>
    <xf numFmtId="0" fontId="13" fillId="5" borderId="0" xfId="0" applyFont="1" applyFill="1"/>
    <xf numFmtId="0" fontId="4" fillId="5" borderId="0" xfId="0" applyFont="1" applyFill="1"/>
    <xf numFmtId="0" fontId="16" fillId="5" borderId="0" xfId="0" applyFont="1" applyFill="1"/>
    <xf numFmtId="0" fontId="13" fillId="3" borderId="0" xfId="0" applyFont="1" applyFill="1" applyAlignment="1">
      <alignment wrapText="1"/>
    </xf>
    <xf numFmtId="0" fontId="16" fillId="0" borderId="0" xfId="0" applyFont="1"/>
    <xf numFmtId="0" fontId="4" fillId="0" borderId="0" xfId="0" quotePrefix="1" applyFont="1"/>
    <xf numFmtId="0" fontId="18" fillId="0" borderId="0" xfId="0" applyFont="1"/>
    <xf numFmtId="0" fontId="12" fillId="6" borderId="0" xfId="0" applyFont="1" applyFill="1"/>
    <xf numFmtId="0" fontId="18" fillId="3" borderId="0" xfId="0" applyFont="1" applyFill="1"/>
    <xf numFmtId="0" fontId="18" fillId="5" borderId="0" xfId="0" applyFont="1" applyFill="1"/>
    <xf numFmtId="0" fontId="12" fillId="6" borderId="0" xfId="0" applyFont="1" applyFill="1" applyAlignment="1">
      <alignment horizontal="center"/>
    </xf>
    <xf numFmtId="0" fontId="13" fillId="3" borderId="0" xfId="0" applyFont="1" applyFill="1" applyAlignment="1">
      <alignment horizontal="center"/>
    </xf>
    <xf numFmtId="0" fontId="13" fillId="5" borderId="0" xfId="0" applyFont="1" applyFill="1" applyAlignment="1">
      <alignment horizontal="center"/>
    </xf>
    <xf numFmtId="0" fontId="19" fillId="0" borderId="0" xfId="1" applyFont="1"/>
    <xf numFmtId="0" fontId="12" fillId="7" borderId="0" xfId="0" applyFont="1" applyFill="1"/>
    <xf numFmtId="0" fontId="4" fillId="7" borderId="0" xfId="0" applyFont="1" applyFill="1"/>
    <xf numFmtId="0" fontId="13" fillId="8" borderId="0" xfId="0" applyFont="1" applyFill="1"/>
    <xf numFmtId="17" fontId="4" fillId="0" borderId="0" xfId="0" applyNumberFormat="1" applyFont="1"/>
    <xf numFmtId="164" fontId="24" fillId="0" borderId="0" xfId="0" applyNumberFormat="1" applyFont="1"/>
    <xf numFmtId="2" fontId="24" fillId="0" borderId="0" xfId="0" applyNumberFormat="1" applyFont="1"/>
    <xf numFmtId="0" fontId="25" fillId="0" borderId="0" xfId="0" applyFont="1"/>
    <xf numFmtId="165" fontId="4" fillId="0" borderId="0" xfId="0" applyNumberFormat="1" applyFont="1"/>
    <xf numFmtId="0" fontId="26" fillId="0" borderId="0" xfId="0" applyFont="1"/>
    <xf numFmtId="0" fontId="27" fillId="0" borderId="0" xfId="0" applyFont="1"/>
    <xf numFmtId="0" fontId="28" fillId="0" borderId="0" xfId="1" applyFont="1"/>
    <xf numFmtId="0" fontId="12" fillId="9" borderId="0" xfId="0" applyFont="1" applyFill="1"/>
    <xf numFmtId="0" fontId="4" fillId="9" borderId="0" xfId="0" applyFont="1" applyFill="1"/>
    <xf numFmtId="0" fontId="13" fillId="10" borderId="0" xfId="0" applyFont="1" applyFill="1"/>
    <xf numFmtId="4" fontId="4" fillId="0" borderId="0" xfId="0" applyNumberFormat="1" applyFont="1"/>
    <xf numFmtId="0" fontId="31" fillId="0" borderId="0" xfId="0" applyFont="1"/>
    <xf numFmtId="0" fontId="32" fillId="0" borderId="0" xfId="0" applyFont="1"/>
    <xf numFmtId="0" fontId="33" fillId="0" borderId="0" xfId="1" applyFont="1"/>
    <xf numFmtId="0" fontId="12" fillId="11" borderId="0" xfId="0" applyFont="1" applyFill="1"/>
    <xf numFmtId="0" fontId="4" fillId="11" borderId="0" xfId="0" applyFont="1" applyFill="1"/>
    <xf numFmtId="0" fontId="13" fillId="12" borderId="0" xfId="0" applyFont="1" applyFill="1"/>
    <xf numFmtId="2" fontId="4" fillId="0" borderId="0" xfId="0" applyNumberFormat="1" applyFont="1"/>
    <xf numFmtId="0" fontId="36" fillId="0" borderId="0" xfId="0" applyFont="1"/>
    <xf numFmtId="0" fontId="37" fillId="0" borderId="0" xfId="1" applyFont="1"/>
    <xf numFmtId="0" fontId="9" fillId="13" borderId="0" xfId="0" applyFont="1" applyFill="1"/>
    <xf numFmtId="0" fontId="15" fillId="14" borderId="0" xfId="0" applyFont="1" applyFill="1"/>
    <xf numFmtId="0" fontId="10" fillId="15" borderId="0" xfId="0" applyFont="1" applyFill="1"/>
    <xf numFmtId="0" fontId="10" fillId="16" borderId="0" xfId="0" applyFont="1" applyFill="1"/>
    <xf numFmtId="0" fontId="12" fillId="13" borderId="0" xfId="0" applyFont="1" applyFill="1"/>
    <xf numFmtId="0" fontId="4" fillId="13" borderId="0" xfId="0" applyFont="1" applyFill="1"/>
    <xf numFmtId="0" fontId="12" fillId="14" borderId="0" xfId="0" applyFont="1" applyFill="1" applyAlignment="1">
      <alignment horizontal="center"/>
    </xf>
    <xf numFmtId="0" fontId="4" fillId="15" borderId="0" xfId="0" applyFont="1" applyFill="1" applyAlignment="1">
      <alignment horizontal="center"/>
    </xf>
    <xf numFmtId="0" fontId="4" fillId="16" borderId="0" xfId="0" applyFont="1" applyFill="1" applyAlignment="1">
      <alignment horizontal="center"/>
    </xf>
    <xf numFmtId="0" fontId="12" fillId="17" borderId="0" xfId="0" applyFont="1" applyFill="1"/>
    <xf numFmtId="0" fontId="13" fillId="18" borderId="0" xfId="0" applyFont="1" applyFill="1"/>
    <xf numFmtId="0" fontId="9" fillId="11" borderId="0" xfId="0" applyFont="1" applyFill="1"/>
    <xf numFmtId="0" fontId="15" fillId="19" borderId="0" xfId="0" applyFont="1" applyFill="1"/>
    <xf numFmtId="0" fontId="10" fillId="20" borderId="0" xfId="0" applyFont="1" applyFill="1"/>
    <xf numFmtId="0" fontId="10" fillId="21" borderId="0" xfId="0" applyFont="1" applyFill="1"/>
    <xf numFmtId="0" fontId="13" fillId="12" borderId="0" xfId="0" applyFont="1" applyFill="1" applyAlignment="1">
      <alignment wrapText="1"/>
    </xf>
    <xf numFmtId="0" fontId="12" fillId="14" borderId="0" xfId="0" applyFont="1" applyFill="1" applyAlignment="1">
      <alignment wrapText="1"/>
    </xf>
    <xf numFmtId="0" fontId="13" fillId="15" borderId="0" xfId="0" applyFont="1" applyFill="1" applyAlignment="1">
      <alignment wrapText="1"/>
    </xf>
    <xf numFmtId="0" fontId="4" fillId="15" borderId="0" xfId="0" applyFont="1" applyFill="1" applyAlignment="1">
      <alignment wrapText="1"/>
    </xf>
    <xf numFmtId="0" fontId="13" fillId="16" borderId="0" xfId="0" applyFont="1" applyFill="1" applyAlignment="1">
      <alignment wrapText="1"/>
    </xf>
    <xf numFmtId="0" fontId="4" fillId="16" borderId="0" xfId="0" applyFont="1" applyFill="1" applyAlignment="1">
      <alignment wrapText="1"/>
    </xf>
    <xf numFmtId="0" fontId="4" fillId="0" borderId="0" xfId="0" applyFont="1" applyAlignment="1">
      <alignment wrapText="1"/>
    </xf>
    <xf numFmtId="0" fontId="4" fillId="7" borderId="0" xfId="0" applyFont="1" applyFill="1" applyAlignment="1">
      <alignment wrapText="1"/>
    </xf>
    <xf numFmtId="0" fontId="12" fillId="17" borderId="0" xfId="0" applyFont="1" applyFill="1" applyAlignment="1">
      <alignment wrapText="1"/>
    </xf>
    <xf numFmtId="0" fontId="4" fillId="8" borderId="0" xfId="0" applyFont="1" applyFill="1" applyAlignment="1">
      <alignment wrapText="1"/>
    </xf>
    <xf numFmtId="0" fontId="4" fillId="18" borderId="0" xfId="0" applyFont="1" applyFill="1" applyAlignment="1">
      <alignment wrapText="1"/>
    </xf>
    <xf numFmtId="0" fontId="4" fillId="11" borderId="0" xfId="0" applyFont="1" applyFill="1" applyAlignment="1">
      <alignment wrapText="1"/>
    </xf>
    <xf numFmtId="0" fontId="15" fillId="19" borderId="0" xfId="0" applyFont="1" applyFill="1" applyAlignment="1">
      <alignment wrapText="1"/>
    </xf>
    <xf numFmtId="0" fontId="2" fillId="20" borderId="0" xfId="0" applyFont="1" applyFill="1" applyAlignment="1">
      <alignment wrapText="1"/>
    </xf>
    <xf numFmtId="0" fontId="2" fillId="21" borderId="0" xfId="0" applyFont="1" applyFill="1" applyAlignment="1">
      <alignment wrapText="1"/>
    </xf>
    <xf numFmtId="0" fontId="4" fillId="13" borderId="0" xfId="0" applyFont="1" applyFill="1" applyAlignment="1">
      <alignment wrapText="1"/>
    </xf>
    <xf numFmtId="0" fontId="15" fillId="14" borderId="0" xfId="0" applyFont="1" applyFill="1" applyAlignment="1">
      <alignment wrapText="1"/>
    </xf>
    <xf numFmtId="0" fontId="2" fillId="15" borderId="0" xfId="0" applyFont="1" applyFill="1" applyAlignment="1">
      <alignment wrapText="1"/>
    </xf>
    <xf numFmtId="0" fontId="2" fillId="16" borderId="0" xfId="0" applyFont="1" applyFill="1" applyAlignment="1">
      <alignment wrapText="1"/>
    </xf>
    <xf numFmtId="0" fontId="39" fillId="0" borderId="0" xfId="1" applyFont="1"/>
    <xf numFmtId="0" fontId="13" fillId="12" borderId="3" xfId="0" applyFont="1" applyFill="1" applyBorder="1"/>
    <xf numFmtId="0" fontId="13" fillId="12" borderId="3" xfId="0" applyFont="1" applyFill="1" applyBorder="1" applyAlignment="1">
      <alignment wrapText="1"/>
    </xf>
    <xf numFmtId="0" fontId="43" fillId="0" borderId="0" xfId="1" applyFont="1"/>
    <xf numFmtId="0" fontId="4" fillId="23" borderId="3" xfId="0" applyFont="1" applyFill="1" applyBorder="1" applyAlignment="1">
      <alignment horizontal="left" vertical="top"/>
    </xf>
    <xf numFmtId="0" fontId="42" fillId="23" borderId="3" xfId="0" applyFont="1" applyFill="1" applyBorder="1" applyAlignment="1">
      <alignment horizontal="left" vertical="top"/>
    </xf>
    <xf numFmtId="0" fontId="13" fillId="23" borderId="3" xfId="0" applyFont="1" applyFill="1" applyBorder="1" applyAlignment="1">
      <alignment horizontal="left" vertical="top" wrapText="1"/>
    </xf>
    <xf numFmtId="0" fontId="4" fillId="23" borderId="3" xfId="0" applyFont="1" applyFill="1" applyBorder="1" applyAlignment="1">
      <alignment horizontal="left" vertical="top" wrapText="1"/>
    </xf>
    <xf numFmtId="0" fontId="12" fillId="22" borderId="0" xfId="0" applyFont="1" applyFill="1" applyAlignment="1">
      <alignment horizontal="center"/>
    </xf>
    <xf numFmtId="0" fontId="12" fillId="22" borderId="0" xfId="0" applyFont="1" applyFill="1"/>
    <xf numFmtId="0" fontId="12" fillId="22" borderId="0" xfId="0" applyFont="1" applyFill="1" applyAlignment="1">
      <alignment wrapText="1"/>
    </xf>
    <xf numFmtId="0" fontId="4" fillId="23" borderId="3" xfId="0" applyFont="1" applyFill="1" applyBorder="1" applyAlignment="1">
      <alignment horizontal="center"/>
    </xf>
    <xf numFmtId="0" fontId="42" fillId="23" borderId="3" xfId="0" applyFont="1" applyFill="1" applyBorder="1"/>
    <xf numFmtId="0" fontId="13" fillId="23" borderId="3" xfId="0" applyFont="1" applyFill="1" applyBorder="1" applyAlignment="1">
      <alignment wrapText="1"/>
    </xf>
    <xf numFmtId="0" fontId="4" fillId="23" borderId="3" xfId="0" applyFont="1" applyFill="1" applyBorder="1" applyAlignment="1">
      <alignment wrapText="1"/>
    </xf>
    <xf numFmtId="0" fontId="4" fillId="0" borderId="3" xfId="0" applyFont="1" applyBorder="1" applyAlignment="1">
      <alignment horizontal="center"/>
    </xf>
    <xf numFmtId="0" fontId="42" fillId="0" borderId="3" xfId="0" applyFont="1" applyBorder="1"/>
    <xf numFmtId="0" fontId="13" fillId="0" borderId="3" xfId="0" applyFont="1" applyBorder="1" applyAlignment="1">
      <alignment wrapText="1"/>
    </xf>
    <xf numFmtId="0" fontId="4" fillId="0" borderId="3" xfId="0" applyFont="1" applyBorder="1" applyAlignment="1">
      <alignment wrapText="1"/>
    </xf>
    <xf numFmtId="0" fontId="12" fillId="24" borderId="0" xfId="0" applyFont="1" applyFill="1"/>
    <xf numFmtId="0" fontId="4" fillId="24" borderId="0" xfId="0" applyFont="1" applyFill="1"/>
    <xf numFmtId="0" fontId="12" fillId="26" borderId="0" xfId="0" applyFont="1" applyFill="1"/>
    <xf numFmtId="0" fontId="4" fillId="26" borderId="0" xfId="0" applyFont="1" applyFill="1"/>
    <xf numFmtId="0" fontId="4" fillId="27" borderId="0" xfId="0" applyFont="1" applyFill="1"/>
    <xf numFmtId="0" fontId="18" fillId="27" borderId="0" xfId="0" applyFont="1" applyFill="1"/>
    <xf numFmtId="164" fontId="24" fillId="27" borderId="0" xfId="0" applyNumberFormat="1" applyFont="1" applyFill="1"/>
    <xf numFmtId="0" fontId="4" fillId="28" borderId="0" xfId="0" applyFont="1" applyFill="1"/>
    <xf numFmtId="0" fontId="18" fillId="28" borderId="0" xfId="0" applyFont="1" applyFill="1"/>
    <xf numFmtId="2" fontId="24" fillId="28" borderId="0" xfId="0" applyNumberFormat="1" applyFont="1" applyFill="1"/>
    <xf numFmtId="2" fontId="24" fillId="27" borderId="0" xfId="0" applyNumberFormat="1" applyFont="1" applyFill="1"/>
    <xf numFmtId="0" fontId="45" fillId="0" borderId="0" xfId="0" applyFont="1"/>
    <xf numFmtId="0" fontId="13" fillId="25" borderId="0" xfId="0" applyFont="1" applyFill="1" applyAlignment="1">
      <alignment horizontal="center"/>
    </xf>
    <xf numFmtId="3" fontId="4" fillId="0" borderId="0" xfId="0" applyNumberFormat="1" applyFont="1" applyAlignment="1">
      <alignment horizontal="center"/>
    </xf>
    <xf numFmtId="4" fontId="45" fillId="0" borderId="0" xfId="0" applyNumberFormat="1" applyFont="1" applyAlignment="1">
      <alignment horizontal="center"/>
    </xf>
    <xf numFmtId="4" fontId="45" fillId="0" borderId="0" xfId="0" applyNumberFormat="1" applyFont="1"/>
    <xf numFmtId="165" fontId="4" fillId="0" borderId="0" xfId="0" applyNumberFormat="1" applyFont="1" applyAlignment="1">
      <alignment horizontal="center"/>
    </xf>
    <xf numFmtId="0" fontId="13" fillId="25" borderId="3" xfId="0" applyFont="1" applyFill="1" applyBorder="1" applyAlignment="1">
      <alignment horizontal="center" vertical="top" wrapText="1"/>
    </xf>
    <xf numFmtId="0" fontId="13" fillId="25" borderId="4" xfId="0" applyFont="1" applyFill="1" applyBorder="1" applyAlignment="1">
      <alignment horizontal="center" vertical="top" wrapText="1"/>
    </xf>
    <xf numFmtId="0" fontId="4" fillId="0" borderId="3" xfId="0" applyFont="1" applyBorder="1"/>
    <xf numFmtId="3" fontId="4" fillId="0" borderId="3" xfId="0" applyNumberFormat="1" applyFont="1" applyBorder="1" applyAlignment="1">
      <alignment horizontal="center"/>
    </xf>
    <xf numFmtId="0" fontId="47" fillId="0" borderId="0" xfId="0" applyFont="1"/>
    <xf numFmtId="165" fontId="45" fillId="0" borderId="0" xfId="0" applyNumberFormat="1" applyFont="1" applyAlignment="1">
      <alignment horizontal="center"/>
    </xf>
    <xf numFmtId="4" fontId="4" fillId="0" borderId="0" xfId="0" applyNumberFormat="1" applyFont="1" applyAlignment="1">
      <alignment horizontal="center"/>
    </xf>
    <xf numFmtId="0" fontId="13" fillId="25" borderId="0" xfId="0" applyFont="1" applyFill="1"/>
    <xf numFmtId="0" fontId="45" fillId="0" borderId="0" xfId="0" applyFont="1" applyAlignment="1">
      <alignment horizontal="center"/>
    </xf>
    <xf numFmtId="0" fontId="49" fillId="0" borderId="0" xfId="0" applyFont="1"/>
    <xf numFmtId="0" fontId="12" fillId="26" borderId="0" xfId="0" applyFont="1" applyFill="1" applyAlignment="1">
      <alignment wrapText="1"/>
    </xf>
    <xf numFmtId="0" fontId="4" fillId="27" borderId="0" xfId="0" applyFont="1" applyFill="1" applyAlignment="1">
      <alignment wrapText="1"/>
    </xf>
    <xf numFmtId="0" fontId="4" fillId="28" borderId="0" xfId="0" applyFont="1" applyFill="1" applyAlignment="1">
      <alignment wrapText="1"/>
    </xf>
    <xf numFmtId="0" fontId="27" fillId="0" borderId="0" xfId="0" quotePrefix="1" applyFont="1" applyAlignment="1">
      <alignment wrapText="1"/>
    </xf>
    <xf numFmtId="0" fontId="27" fillId="0" borderId="0" xfId="0" applyFont="1" applyAlignment="1">
      <alignment wrapText="1"/>
    </xf>
    <xf numFmtId="0" fontId="13" fillId="25" borderId="0" xfId="0" applyFont="1" applyFill="1" applyAlignment="1">
      <alignment horizontal="center" wrapText="1"/>
    </xf>
    <xf numFmtId="0" fontId="48" fillId="0" borderId="0" xfId="0" applyFont="1"/>
    <xf numFmtId="0" fontId="50" fillId="0" borderId="0" xfId="1" applyFont="1"/>
    <xf numFmtId="0" fontId="12" fillId="29" borderId="0" xfId="0" applyFont="1" applyFill="1"/>
    <xf numFmtId="0" fontId="4" fillId="29" borderId="0" xfId="0" applyFont="1" applyFill="1"/>
    <xf numFmtId="0" fontId="52" fillId="0" borderId="0" xfId="0" applyFont="1"/>
    <xf numFmtId="2" fontId="4" fillId="0" borderId="0" xfId="0" applyNumberFormat="1" applyFont="1" applyAlignment="1">
      <alignment horizontal="center"/>
    </xf>
    <xf numFmtId="166" fontId="4" fillId="0" borderId="0" xfId="0" applyNumberFormat="1" applyFont="1" applyAlignment="1">
      <alignment horizontal="center"/>
    </xf>
    <xf numFmtId="0" fontId="53" fillId="0" borderId="0" xfId="0" applyFont="1"/>
    <xf numFmtId="0" fontId="54" fillId="0" borderId="0" xfId="0" applyFont="1"/>
    <xf numFmtId="0" fontId="12" fillId="31" borderId="0" xfId="0" applyFont="1" applyFill="1"/>
    <xf numFmtId="0" fontId="12" fillId="31" borderId="0" xfId="0" applyFont="1" applyFill="1" applyAlignment="1">
      <alignment horizontal="center"/>
    </xf>
    <xf numFmtId="0" fontId="13" fillId="32" borderId="0" xfId="0" applyFont="1" applyFill="1"/>
    <xf numFmtId="0" fontId="52" fillId="32" borderId="0" xfId="0" applyFont="1" applyFill="1" applyAlignment="1">
      <alignment horizontal="center"/>
    </xf>
    <xf numFmtId="0" fontId="13" fillId="33" borderId="0" xfId="0" applyFont="1" applyFill="1"/>
    <xf numFmtId="0" fontId="52" fillId="33" borderId="0" xfId="0" applyFont="1" applyFill="1" applyAlignment="1">
      <alignment horizontal="center"/>
    </xf>
    <xf numFmtId="0" fontId="55" fillId="0" borderId="0" xfId="0" applyFont="1"/>
    <xf numFmtId="0" fontId="56" fillId="0" borderId="0" xfId="0" applyFont="1"/>
    <xf numFmtId="3" fontId="52" fillId="0" borderId="0" xfId="0" applyNumberFormat="1" applyFont="1" applyAlignment="1">
      <alignment horizontal="center"/>
    </xf>
    <xf numFmtId="3" fontId="31" fillId="0" borderId="0" xfId="0" applyNumberFormat="1" applyFont="1" applyAlignment="1">
      <alignment horizontal="center"/>
    </xf>
    <xf numFmtId="0" fontId="13" fillId="30" borderId="0" xfId="0" applyFont="1" applyFill="1" applyAlignment="1">
      <alignment horizontal="center" wrapText="1"/>
    </xf>
    <xf numFmtId="0" fontId="13" fillId="30" borderId="3" xfId="0" applyFont="1" applyFill="1" applyBorder="1" applyAlignment="1">
      <alignment horizontal="center" wrapText="1"/>
    </xf>
    <xf numFmtId="0" fontId="12" fillId="31" borderId="0" xfId="0" applyFont="1" applyFill="1" applyAlignment="1">
      <alignment wrapText="1"/>
    </xf>
    <xf numFmtId="0" fontId="4" fillId="32" borderId="0" xfId="0" applyFont="1" applyFill="1" applyAlignment="1">
      <alignment wrapText="1"/>
    </xf>
    <xf numFmtId="0" fontId="4" fillId="33" borderId="0" xfId="0" applyFont="1" applyFill="1" applyAlignment="1">
      <alignment wrapText="1"/>
    </xf>
    <xf numFmtId="0" fontId="13" fillId="30" borderId="0" xfId="0" applyFont="1" applyFill="1"/>
    <xf numFmtId="0" fontId="13" fillId="0" borderId="0" xfId="0" applyFont="1" applyAlignment="1">
      <alignment wrapText="1"/>
    </xf>
    <xf numFmtId="0" fontId="57" fillId="0" borderId="0" xfId="1" applyFont="1"/>
    <xf numFmtId="0" fontId="13" fillId="8" borderId="3" xfId="0" applyFont="1" applyFill="1" applyBorder="1" applyAlignment="1">
      <alignment wrapText="1"/>
    </xf>
    <xf numFmtId="17" fontId="4" fillId="0" borderId="3" xfId="0" applyNumberFormat="1" applyFont="1" applyBorder="1"/>
    <xf numFmtId="0" fontId="13" fillId="34" borderId="0" xfId="0" applyFont="1" applyFill="1"/>
    <xf numFmtId="3" fontId="4" fillId="0" borderId="0" xfId="0" applyNumberFormat="1" applyFont="1"/>
    <xf numFmtId="0" fontId="63" fillId="0" borderId="0" xfId="0" applyFont="1"/>
    <xf numFmtId="0" fontId="13" fillId="0" borderId="0" xfId="0" applyFont="1" applyAlignment="1">
      <alignment horizontal="center"/>
    </xf>
    <xf numFmtId="0" fontId="18" fillId="0" borderId="0" xfId="0" applyFont="1" applyAlignment="1">
      <alignment wrapText="1"/>
    </xf>
    <xf numFmtId="0" fontId="52" fillId="0" borderId="0" xfId="0" applyFont="1" applyAlignment="1">
      <alignment wrapText="1"/>
    </xf>
    <xf numFmtId="4" fontId="12" fillId="11" borderId="5" xfId="0" applyNumberFormat="1" applyFont="1" applyFill="1" applyBorder="1" applyAlignment="1">
      <alignment horizontal="center"/>
    </xf>
    <xf numFmtId="0" fontId="12" fillId="36" borderId="0" xfId="0" applyFont="1" applyFill="1" applyAlignment="1">
      <alignment horizontal="center"/>
    </xf>
    <xf numFmtId="0" fontId="12" fillId="29" borderId="0" xfId="0" applyFont="1" applyFill="1" applyAlignment="1">
      <alignment horizontal="center"/>
    </xf>
    <xf numFmtId="0" fontId="26" fillId="0" borderId="0" xfId="0" applyFont="1" applyAlignment="1">
      <alignment horizontal="center"/>
    </xf>
    <xf numFmtId="167" fontId="52" fillId="0" borderId="0" xfId="0" applyNumberFormat="1" applyFont="1" applyAlignment="1">
      <alignment horizontal="center"/>
    </xf>
    <xf numFmtId="4" fontId="31" fillId="0" borderId="0" xfId="0" applyNumberFormat="1" applyFont="1" applyAlignment="1">
      <alignment horizontal="center"/>
    </xf>
    <xf numFmtId="0" fontId="12" fillId="37" borderId="0" xfId="0" applyFont="1" applyFill="1"/>
    <xf numFmtId="0" fontId="4" fillId="37" borderId="0" xfId="0" applyFont="1" applyFill="1"/>
    <xf numFmtId="0" fontId="12" fillId="38" borderId="0" xfId="0" applyFont="1" applyFill="1"/>
    <xf numFmtId="0" fontId="12" fillId="38" borderId="0" xfId="0" applyFont="1" applyFill="1" applyAlignment="1">
      <alignment horizontal="center"/>
    </xf>
    <xf numFmtId="0" fontId="18" fillId="3" borderId="0" xfId="0" applyFont="1" applyFill="1" applyAlignment="1">
      <alignment horizontal="center"/>
    </xf>
    <xf numFmtId="0" fontId="27" fillId="3" borderId="0" xfId="0" applyFont="1" applyFill="1" applyAlignment="1">
      <alignment wrapText="1"/>
    </xf>
    <xf numFmtId="0" fontId="18" fillId="5" borderId="0" xfId="0" applyFont="1" applyFill="1" applyAlignment="1">
      <alignment horizontal="center"/>
    </xf>
    <xf numFmtId="0" fontId="27" fillId="5" borderId="0" xfId="0" applyFont="1" applyFill="1" applyAlignment="1">
      <alignment wrapText="1"/>
    </xf>
    <xf numFmtId="0" fontId="13" fillId="3" borderId="0" xfId="0" applyFont="1" applyFill="1" applyAlignment="1">
      <alignment horizontal="center" wrapText="1"/>
    </xf>
    <xf numFmtId="0" fontId="67" fillId="0" borderId="0" xfId="0" applyFont="1"/>
    <xf numFmtId="4" fontId="67" fillId="0" borderId="0" xfId="0" applyNumberFormat="1" applyFont="1" applyAlignment="1">
      <alignment horizontal="center"/>
    </xf>
    <xf numFmtId="0" fontId="12" fillId="38" borderId="0" xfId="0" applyFont="1" applyFill="1" applyAlignment="1">
      <alignment wrapText="1"/>
    </xf>
    <xf numFmtId="0" fontId="4" fillId="3" borderId="0" xfId="0" applyFont="1" applyFill="1" applyAlignment="1">
      <alignment wrapText="1"/>
    </xf>
    <xf numFmtId="0" fontId="31" fillId="5" borderId="0" xfId="0" applyFont="1" applyFill="1" applyAlignment="1">
      <alignment wrapText="1"/>
    </xf>
    <xf numFmtId="0" fontId="4" fillId="5" borderId="0" xfId="0" applyFont="1" applyFill="1" applyAlignment="1">
      <alignment wrapText="1"/>
    </xf>
    <xf numFmtId="0" fontId="31" fillId="3" borderId="0" xfId="0" applyFont="1" applyFill="1" applyAlignment="1">
      <alignment wrapText="1"/>
    </xf>
    <xf numFmtId="0" fontId="62" fillId="5" borderId="0" xfId="0" applyFont="1" applyFill="1" applyAlignment="1">
      <alignment wrapText="1"/>
    </xf>
    <xf numFmtId="0" fontId="18" fillId="3" borderId="0" xfId="0" applyFont="1" applyFill="1" applyAlignment="1">
      <alignment wrapText="1"/>
    </xf>
    <xf numFmtId="0" fontId="18" fillId="5" borderId="0" xfId="0" applyFont="1" applyFill="1" applyAlignment="1">
      <alignment wrapText="1"/>
    </xf>
    <xf numFmtId="0" fontId="31" fillId="3" borderId="0" xfId="0" applyFont="1" applyFill="1" applyAlignment="1">
      <alignment horizontal="center" wrapText="1"/>
    </xf>
    <xf numFmtId="0" fontId="52" fillId="5" borderId="0" xfId="0" applyFont="1" applyFill="1" applyAlignment="1">
      <alignment wrapText="1"/>
    </xf>
    <xf numFmtId="0" fontId="4" fillId="38" borderId="0" xfId="0" applyFont="1" applyFill="1"/>
    <xf numFmtId="167" fontId="62" fillId="35" borderId="6" xfId="0" applyNumberFormat="1" applyFont="1" applyFill="1" applyBorder="1" applyAlignment="1">
      <alignment horizontal="center"/>
    </xf>
    <xf numFmtId="167" fontId="62" fillId="35" borderId="7" xfId="0" applyNumberFormat="1" applyFont="1" applyFill="1" applyBorder="1" applyAlignment="1">
      <alignment horizontal="center"/>
    </xf>
    <xf numFmtId="0" fontId="68" fillId="0" borderId="0" xfId="1" applyFont="1"/>
    <xf numFmtId="0" fontId="12" fillId="39" borderId="0" xfId="0" applyFont="1" applyFill="1"/>
    <xf numFmtId="0" fontId="4" fillId="39" borderId="0" xfId="0" applyFont="1" applyFill="1"/>
    <xf numFmtId="0" fontId="13" fillId="40" borderId="0" xfId="0" applyFont="1" applyFill="1" applyAlignment="1">
      <alignment horizontal="center"/>
    </xf>
    <xf numFmtId="0" fontId="4" fillId="27" borderId="0" xfId="0" applyFont="1" applyFill="1" applyAlignment="1">
      <alignment horizontal="center"/>
    </xf>
    <xf numFmtId="0" fontId="13" fillId="40" borderId="0" xfId="0" applyFont="1" applyFill="1"/>
    <xf numFmtId="168" fontId="4" fillId="27" borderId="0" xfId="0" applyNumberFormat="1" applyFont="1" applyFill="1" applyAlignment="1">
      <alignment horizontal="center"/>
    </xf>
    <xf numFmtId="168" fontId="31" fillId="0" borderId="0" xfId="0" applyNumberFormat="1" applyFont="1" applyAlignment="1">
      <alignment horizontal="center"/>
    </xf>
    <xf numFmtId="0" fontId="13" fillId="27" borderId="0" xfId="0" applyFont="1" applyFill="1" applyAlignment="1">
      <alignment horizontal="center"/>
    </xf>
    <xf numFmtId="168" fontId="31" fillId="27" borderId="0" xfId="0" applyNumberFormat="1" applyFont="1" applyFill="1" applyAlignment="1">
      <alignment horizontal="center"/>
    </xf>
    <xf numFmtId="165" fontId="52" fillId="0" borderId="0" xfId="0" applyNumberFormat="1" applyFont="1" applyAlignment="1">
      <alignment horizontal="center"/>
    </xf>
    <xf numFmtId="168" fontId="52" fillId="0" borderId="0" xfId="0" applyNumberFormat="1" applyFont="1" applyAlignment="1">
      <alignment horizontal="center"/>
    </xf>
    <xf numFmtId="0" fontId="13" fillId="40" borderId="0" xfId="0" applyFont="1" applyFill="1" applyAlignment="1">
      <alignment wrapText="1"/>
    </xf>
    <xf numFmtId="0" fontId="13" fillId="40" borderId="0" xfId="0" applyFont="1" applyFill="1" applyAlignment="1">
      <alignment horizontal="center" wrapText="1"/>
    </xf>
    <xf numFmtId="0" fontId="27" fillId="27" borderId="0" xfId="0" applyFont="1" applyFill="1" applyAlignment="1">
      <alignment wrapText="1"/>
    </xf>
    <xf numFmtId="0" fontId="4" fillId="27" borderId="0" xfId="0" applyFont="1" applyFill="1" applyAlignment="1">
      <alignment horizontal="center" wrapText="1"/>
    </xf>
    <xf numFmtId="0" fontId="31" fillId="0" borderId="0" xfId="0" applyFont="1" applyAlignment="1">
      <alignment horizontal="center" wrapText="1"/>
    </xf>
    <xf numFmtId="0" fontId="31" fillId="27" borderId="0" xfId="0" applyFont="1" applyFill="1" applyAlignment="1">
      <alignment horizontal="center" wrapText="1"/>
    </xf>
    <xf numFmtId="0" fontId="52" fillId="0" borderId="0" xfId="0" applyFont="1" applyAlignment="1">
      <alignment horizontal="center" wrapText="1"/>
    </xf>
    <xf numFmtId="0" fontId="52" fillId="27" borderId="0" xfId="0" applyFont="1" applyFill="1" applyAlignment="1">
      <alignment horizontal="center" wrapText="1"/>
    </xf>
    <xf numFmtId="0" fontId="31" fillId="20" borderId="0" xfId="0" applyFont="1" applyFill="1" applyAlignment="1">
      <alignment horizontal="center" wrapText="1"/>
    </xf>
    <xf numFmtId="0" fontId="52" fillId="32" borderId="0" xfId="0" applyFont="1" applyFill="1" applyAlignment="1">
      <alignment horizontal="center" wrapText="1"/>
    </xf>
    <xf numFmtId="0" fontId="31" fillId="42" borderId="0" xfId="0" applyFont="1" applyFill="1" applyAlignment="1">
      <alignment horizontal="center" wrapText="1"/>
    </xf>
    <xf numFmtId="0" fontId="32" fillId="16" borderId="0" xfId="0" applyFont="1" applyFill="1" applyAlignment="1">
      <alignment horizontal="center" wrapText="1"/>
    </xf>
    <xf numFmtId="168" fontId="52" fillId="27" borderId="0" xfId="0" applyNumberFormat="1" applyFont="1" applyFill="1" applyAlignment="1">
      <alignment horizontal="center"/>
    </xf>
    <xf numFmtId="0" fontId="12" fillId="41" borderId="0" xfId="0" applyFont="1" applyFill="1" applyAlignment="1">
      <alignment wrapText="1"/>
    </xf>
    <xf numFmtId="0" fontId="12" fillId="41" borderId="0" xfId="0" applyFont="1" applyFill="1" applyAlignment="1">
      <alignment horizontal="center" wrapText="1"/>
    </xf>
    <xf numFmtId="0" fontId="4" fillId="20" borderId="0" xfId="0" applyFont="1" applyFill="1" applyAlignment="1">
      <alignment wrapText="1"/>
    </xf>
    <xf numFmtId="0" fontId="4" fillId="42" borderId="0" xfId="0" applyFont="1" applyFill="1" applyAlignment="1">
      <alignment wrapText="1"/>
    </xf>
    <xf numFmtId="0" fontId="71" fillId="0" borderId="0" xfId="0" applyFont="1"/>
    <xf numFmtId="168" fontId="71" fillId="0" borderId="0" xfId="0" applyNumberFormat="1" applyFont="1"/>
    <xf numFmtId="0" fontId="72" fillId="0" borderId="0" xfId="1" applyFont="1"/>
    <xf numFmtId="0" fontId="71" fillId="39" borderId="0" xfId="0" applyFont="1" applyFill="1"/>
    <xf numFmtId="0" fontId="4" fillId="43" borderId="0" xfId="0" applyFont="1" applyFill="1"/>
    <xf numFmtId="0" fontId="4" fillId="44" borderId="0" xfId="0" applyFont="1" applyFill="1"/>
    <xf numFmtId="14" fontId="4" fillId="43" borderId="0" xfId="0" applyNumberFormat="1" applyFont="1" applyFill="1"/>
    <xf numFmtId="0" fontId="4" fillId="43" borderId="3" xfId="0" applyFont="1" applyFill="1" applyBorder="1"/>
    <xf numFmtId="0" fontId="73" fillId="35" borderId="0" xfId="0" applyFont="1" applyFill="1"/>
    <xf numFmtId="0" fontId="13" fillId="40" borderId="3" xfId="0" applyFont="1" applyFill="1" applyBorder="1" applyAlignment="1">
      <alignment horizontal="center" wrapText="1"/>
    </xf>
    <xf numFmtId="14" fontId="74" fillId="43" borderId="3" xfId="0" applyNumberFormat="1" applyFont="1" applyFill="1" applyBorder="1"/>
    <xf numFmtId="0" fontId="74" fillId="43" borderId="3" xfId="0" applyFont="1" applyFill="1" applyBorder="1"/>
    <xf numFmtId="0" fontId="3" fillId="0" borderId="0" xfId="0" applyFont="1"/>
    <xf numFmtId="0" fontId="5" fillId="0" borderId="0" xfId="0" applyFont="1"/>
    <xf numFmtId="0" fontId="11" fillId="0" borderId="0" xfId="0" applyFont="1"/>
    <xf numFmtId="0" fontId="17" fillId="0" borderId="0" xfId="0" applyFont="1"/>
    <xf numFmtId="0" fontId="22" fillId="0" borderId="0" xfId="0" applyFont="1"/>
    <xf numFmtId="0" fontId="23" fillId="0" borderId="0" xfId="0" applyFont="1"/>
    <xf numFmtId="0" fontId="58" fillId="16" borderId="0" xfId="0" applyFont="1" applyFill="1" applyAlignment="1">
      <alignment wrapText="1"/>
    </xf>
    <xf numFmtId="0" fontId="58" fillId="16" borderId="0" xfId="0" applyFont="1" applyFill="1"/>
    <xf numFmtId="0" fontId="29" fillId="0" borderId="0" xfId="0" applyFont="1"/>
    <xf numFmtId="0" fontId="30" fillId="0" borderId="0" xfId="0" applyFont="1"/>
    <xf numFmtId="0" fontId="34" fillId="0" borderId="0" xfId="0" applyFont="1"/>
    <xf numFmtId="0" fontId="35" fillId="0" borderId="0" xfId="0" applyFont="1"/>
    <xf numFmtId="0" fontId="38" fillId="0" borderId="0" xfId="0" applyFont="1"/>
    <xf numFmtId="0" fontId="40" fillId="0" borderId="0" xfId="0" applyFont="1"/>
    <xf numFmtId="0" fontId="41" fillId="0" borderId="0" xfId="0" applyFont="1"/>
    <xf numFmtId="0" fontId="44" fillId="0" borderId="0" xfId="0" applyFont="1"/>
    <xf numFmtId="0" fontId="46" fillId="25" borderId="0" xfId="0" applyFont="1" applyFill="1" applyAlignment="1">
      <alignment horizontal="left" vertical="top" wrapText="1"/>
    </xf>
    <xf numFmtId="0" fontId="59" fillId="16" borderId="0" xfId="0" applyFont="1" applyFill="1" applyAlignment="1">
      <alignment wrapText="1"/>
    </xf>
    <xf numFmtId="0" fontId="59" fillId="16" borderId="0" xfId="0" applyFont="1" applyFill="1"/>
    <xf numFmtId="0" fontId="51" fillId="0" borderId="0" xfId="0" applyFont="1"/>
    <xf numFmtId="0" fontId="65" fillId="0" borderId="0" xfId="0" applyFont="1"/>
    <xf numFmtId="0" fontId="60" fillId="0" borderId="0" xfId="0" applyFont="1"/>
    <xf numFmtId="0" fontId="66" fillId="0" borderId="0" xfId="0" applyFont="1"/>
    <xf numFmtId="0" fontId="61" fillId="0" borderId="0" xfId="0" applyFont="1"/>
    <xf numFmtId="0" fontId="67" fillId="0" borderId="0" xfId="0" applyFont="1"/>
    <xf numFmtId="0" fontId="64" fillId="0" borderId="0" xfId="0" applyFont="1"/>
    <xf numFmtId="0" fontId="69" fillId="0" borderId="0" xfId="0" applyFont="1"/>
    <xf numFmtId="0" fontId="70" fillId="0" borderId="0" xfId="0" applyFont="1"/>
    <xf numFmtId="0" fontId="68" fillId="0" borderId="2" xfId="1" applyFont="1" applyBorder="1"/>
    <xf numFmtId="0" fontId="4" fillId="0" borderId="1" xfId="0" applyFont="1" applyBorder="1" applyAlignment="1">
      <alignment horizontal="center"/>
    </xf>
    <xf numFmtId="0" fontId="8" fillId="0" borderId="1" xfId="1" applyFont="1" applyBorder="1"/>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548235"/>
                </a:solidFill>
                <a:latin typeface="+mn-lt"/>
                <a:ea typeface="+mn-ea"/>
                <a:cs typeface="+mn-cs"/>
              </a:defRPr>
            </a:pPr>
            <a:r>
              <a:rPr lang="en-US"/>
              <a:t>Monthly Sales — Actual Data &amp;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548235"/>
              </a:solidFill>
              <a:latin typeface="+mn-lt"/>
              <a:ea typeface="+mn-ea"/>
              <a:cs typeface="+mn-cs"/>
            </a:defRPr>
          </a:pPr>
          <a:endParaRPr lang="en-US"/>
        </a:p>
      </c:txPr>
    </c:title>
    <c:autoTitleDeleted val="0"/>
    <c:plotArea>
      <c:layout/>
      <c:lineChart>
        <c:grouping val="standard"/>
        <c:varyColors val="0"/>
        <c:ser>
          <c:idx val="0"/>
          <c:order val="0"/>
          <c:tx>
            <c:strRef>
              <c:f>'Illustration 1'!$B$5</c:f>
              <c:strCache>
                <c:ptCount val="1"/>
                <c:pt idx="0">
                  <c:v>Sales ($000s)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'Illustration 1'!$A$6:$A$29</c:f>
              <c:numCache>
                <c:formatCode>mmm\-yy</c:formatCode>
                <c:ptCount val="24"/>
                <c:pt idx="0">
                  <c:v>46045</c:v>
                </c:pt>
                <c:pt idx="1">
                  <c:v>46076</c:v>
                </c:pt>
                <c:pt idx="2">
                  <c:v>46104</c:v>
                </c:pt>
                <c:pt idx="3">
                  <c:v>46135</c:v>
                </c:pt>
                <c:pt idx="4">
                  <c:v>46165</c:v>
                </c:pt>
                <c:pt idx="5">
                  <c:v>46196</c:v>
                </c:pt>
                <c:pt idx="6">
                  <c:v>46226</c:v>
                </c:pt>
                <c:pt idx="7">
                  <c:v>46257</c:v>
                </c:pt>
                <c:pt idx="8">
                  <c:v>46288</c:v>
                </c:pt>
                <c:pt idx="9">
                  <c:v>46318</c:v>
                </c:pt>
                <c:pt idx="10">
                  <c:v>46349</c:v>
                </c:pt>
                <c:pt idx="11">
                  <c:v>46379</c:v>
                </c:pt>
                <c:pt idx="12">
                  <c:v>46046</c:v>
                </c:pt>
                <c:pt idx="13">
                  <c:v>46077</c:v>
                </c:pt>
                <c:pt idx="14">
                  <c:v>46105</c:v>
                </c:pt>
                <c:pt idx="15">
                  <c:v>46136</c:v>
                </c:pt>
                <c:pt idx="16">
                  <c:v>46166</c:v>
                </c:pt>
                <c:pt idx="17">
                  <c:v>46197</c:v>
                </c:pt>
                <c:pt idx="18">
                  <c:v>46227</c:v>
                </c:pt>
                <c:pt idx="19">
                  <c:v>46258</c:v>
                </c:pt>
                <c:pt idx="20">
                  <c:v>46289</c:v>
                </c:pt>
                <c:pt idx="21">
                  <c:v>46319</c:v>
                </c:pt>
                <c:pt idx="22">
                  <c:v>46350</c:v>
                </c:pt>
                <c:pt idx="23">
                  <c:v>46380</c:v>
                </c:pt>
              </c:numCache>
            </c:numRef>
          </c:cat>
          <c:val>
            <c:numRef>
              <c:f>'Illustration 1'!$B$6:$B$29</c:f>
              <c:numCache>
                <c:formatCode>General</c:formatCode>
                <c:ptCount val="24"/>
                <c:pt idx="0">
                  <c:v>120</c:v>
                </c:pt>
                <c:pt idx="1">
                  <c:v>125</c:v>
                </c:pt>
                <c:pt idx="2">
                  <c:v>130</c:v>
                </c:pt>
                <c:pt idx="3">
                  <c:v>128</c:v>
                </c:pt>
                <c:pt idx="4">
                  <c:v>135</c:v>
                </c:pt>
                <c:pt idx="5">
                  <c:v>140</c:v>
                </c:pt>
                <c:pt idx="6">
                  <c:v>138</c:v>
                </c:pt>
                <c:pt idx="7">
                  <c:v>145</c:v>
                </c:pt>
                <c:pt idx="8">
                  <c:v>150</c:v>
                </c:pt>
                <c:pt idx="9">
                  <c:v>148</c:v>
                </c:pt>
                <c:pt idx="10">
                  <c:v>155</c:v>
                </c:pt>
                <c:pt idx="11">
                  <c:v>162</c:v>
                </c:pt>
                <c:pt idx="12">
                  <c:v>158</c:v>
                </c:pt>
                <c:pt idx="13">
                  <c:v>165</c:v>
                </c:pt>
                <c:pt idx="14">
                  <c:v>170</c:v>
                </c:pt>
                <c:pt idx="15">
                  <c:v>168</c:v>
                </c:pt>
                <c:pt idx="16">
                  <c:v>175</c:v>
                </c:pt>
                <c:pt idx="17">
                  <c:v>180</c:v>
                </c:pt>
                <c:pt idx="18">
                  <c:v>178</c:v>
                </c:pt>
                <c:pt idx="19">
                  <c:v>185</c:v>
                </c:pt>
                <c:pt idx="20">
                  <c:v>190</c:v>
                </c:pt>
                <c:pt idx="21">
                  <c:v>188</c:v>
                </c:pt>
                <c:pt idx="22">
                  <c:v>195</c:v>
                </c:pt>
                <c:pt idx="23">
                  <c:v>202</c:v>
                </c:pt>
              </c:numCache>
            </c:numRef>
          </c:val>
          <c:smooth val="0"/>
          <c:extLst>
            <c:ext xmlns:c16="http://schemas.microsoft.com/office/drawing/2014/chart" uri="{C3380CC4-5D6E-409C-BE32-E72D297353CC}">
              <c16:uniqueId val="{00000000-1F68-884E-A12E-93D976B01743}"/>
            </c:ext>
          </c:extLst>
        </c:ser>
        <c:dLbls>
          <c:showLegendKey val="0"/>
          <c:showVal val="0"/>
          <c:showCatName val="0"/>
          <c:showSerName val="0"/>
          <c:showPercent val="0"/>
          <c:showBubbleSize val="0"/>
        </c:dLbls>
        <c:marker val="1"/>
        <c:smooth val="0"/>
        <c:axId val="1557429248"/>
        <c:axId val="83351568"/>
      </c:lineChart>
      <c:dateAx>
        <c:axId val="155742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1568"/>
        <c:crosses val="autoZero"/>
        <c:auto val="1"/>
        <c:lblOffset val="100"/>
        <c:baseTimeUnit val="days"/>
      </c:dateAx>
      <c:valAx>
        <c:axId val="83351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 ($000s)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2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BF8F00"/>
                </a:solidFill>
                <a:latin typeface="+mn-lt"/>
                <a:ea typeface="+mn-ea"/>
                <a:cs typeface="+mn-cs"/>
              </a:defRPr>
            </a:pPr>
            <a:r>
              <a:rPr lang="en-US"/>
              <a:t>Actual Price vs Random Walk Forecast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BF8F00"/>
              </a:solidFill>
              <a:latin typeface="+mn-lt"/>
              <a:ea typeface="+mn-ea"/>
              <a:cs typeface="+mn-cs"/>
            </a:defRPr>
          </a:pPr>
          <a:endParaRPr lang="en-US"/>
        </a:p>
      </c:txPr>
    </c:title>
    <c:autoTitleDeleted val="0"/>
    <c:plotArea>
      <c:layout/>
      <c:lineChart>
        <c:grouping val="standard"/>
        <c:varyColors val="0"/>
        <c:ser>
          <c:idx val="0"/>
          <c:order val="0"/>
          <c:tx>
            <c:strRef>
              <c:f>'Illustration 2'!$A$5</c:f>
              <c:strCache>
                <c:ptCount val="1"/>
                <c:pt idx="0">
                  <c:v>Day</c:v>
                </c:pt>
              </c:strCache>
            </c:strRef>
          </c:tx>
          <c:spPr>
            <a:ln w="28575" cap="rnd">
              <a:solidFill>
                <a:schemeClr val="accent1"/>
              </a:solidFill>
              <a:round/>
            </a:ln>
            <a:effectLst/>
          </c:spPr>
          <c:marker>
            <c:symbol val="none"/>
          </c:marker>
          <c:val>
            <c:numRef>
              <c:f>'Illustration 2'!$A$6:$A$25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val>
          <c:smooth val="0"/>
          <c:extLst>
            <c:ext xmlns:c16="http://schemas.microsoft.com/office/drawing/2014/chart" uri="{C3380CC4-5D6E-409C-BE32-E72D297353CC}">
              <c16:uniqueId val="{00000000-F198-D644-8023-073F5691BA2E}"/>
            </c:ext>
          </c:extLst>
        </c:ser>
        <c:ser>
          <c:idx val="1"/>
          <c:order val="1"/>
          <c:tx>
            <c:strRef>
              <c:f>'Illustration 2'!$B$5</c:f>
              <c:strCache>
                <c:ptCount val="1"/>
                <c:pt idx="0">
                  <c:v>Price ($)</c:v>
                </c:pt>
              </c:strCache>
            </c:strRef>
          </c:tx>
          <c:spPr>
            <a:ln w="28575" cap="rnd">
              <a:solidFill>
                <a:schemeClr val="accent2"/>
              </a:solidFill>
              <a:round/>
            </a:ln>
            <a:effectLst/>
          </c:spPr>
          <c:marker>
            <c:symbol val="none"/>
          </c:marker>
          <c:val>
            <c:numRef>
              <c:f>'Illustration 2'!$B$6:$B$25</c:f>
              <c:numCache>
                <c:formatCode>#,##0.00</c:formatCode>
                <c:ptCount val="20"/>
                <c:pt idx="0">
                  <c:v>100</c:v>
                </c:pt>
                <c:pt idx="1">
                  <c:v>101.5</c:v>
                </c:pt>
                <c:pt idx="2">
                  <c:v>99.8</c:v>
                </c:pt>
                <c:pt idx="3">
                  <c:v>102.3</c:v>
                </c:pt>
                <c:pt idx="4">
                  <c:v>101.1</c:v>
                </c:pt>
                <c:pt idx="5">
                  <c:v>103.7</c:v>
                </c:pt>
                <c:pt idx="6">
                  <c:v>102.5</c:v>
                </c:pt>
                <c:pt idx="7">
                  <c:v>105.2</c:v>
                </c:pt>
                <c:pt idx="8">
                  <c:v>104</c:v>
                </c:pt>
                <c:pt idx="9">
                  <c:v>106.8</c:v>
                </c:pt>
                <c:pt idx="10">
                  <c:v>105.3</c:v>
                </c:pt>
                <c:pt idx="11">
                  <c:v>108.1</c:v>
                </c:pt>
                <c:pt idx="12">
                  <c:v>106.4</c:v>
                </c:pt>
                <c:pt idx="13">
                  <c:v>109.5</c:v>
                </c:pt>
                <c:pt idx="14">
                  <c:v>107.9</c:v>
                </c:pt>
                <c:pt idx="15">
                  <c:v>110.6</c:v>
                </c:pt>
                <c:pt idx="16">
                  <c:v>109.2</c:v>
                </c:pt>
                <c:pt idx="17">
                  <c:v>112</c:v>
                </c:pt>
                <c:pt idx="18">
                  <c:v>110.5</c:v>
                </c:pt>
                <c:pt idx="19">
                  <c:v>113.3</c:v>
                </c:pt>
              </c:numCache>
            </c:numRef>
          </c:val>
          <c:smooth val="0"/>
          <c:extLst>
            <c:ext xmlns:c16="http://schemas.microsoft.com/office/drawing/2014/chart" uri="{C3380CC4-5D6E-409C-BE32-E72D297353CC}">
              <c16:uniqueId val="{00000001-F198-D644-8023-073F5691BA2E}"/>
            </c:ext>
          </c:extLst>
        </c:ser>
        <c:ser>
          <c:idx val="2"/>
          <c:order val="2"/>
          <c:tx>
            <c:v>Random Walk Forecast</c:v>
          </c:tx>
          <c:spPr>
            <a:ln w="28575" cap="rnd">
              <a:solidFill>
                <a:srgbClr val="C00000"/>
              </a:solidFill>
              <a:prstDash val="solid"/>
              <a:round/>
            </a:ln>
            <a:effectLst/>
          </c:spPr>
          <c:marker>
            <c:symbol val="none"/>
          </c:marker>
          <c:cat>
            <c:numRef>
              <c:f>'Illustration 2'!$A$7:$A$25</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'Illustration 2'!$D$7:$D$25</c:f>
              <c:numCache>
                <c:formatCode>#,##0.00</c:formatCode>
                <c:ptCount val="19"/>
                <c:pt idx="0">
                  <c:v>100</c:v>
                </c:pt>
                <c:pt idx="1">
                  <c:v>101.5</c:v>
                </c:pt>
                <c:pt idx="2">
                  <c:v>99.8</c:v>
                </c:pt>
                <c:pt idx="3">
                  <c:v>102.3</c:v>
                </c:pt>
                <c:pt idx="4">
                  <c:v>101.1</c:v>
                </c:pt>
                <c:pt idx="5">
                  <c:v>103.7</c:v>
                </c:pt>
                <c:pt idx="6">
                  <c:v>102.5</c:v>
                </c:pt>
                <c:pt idx="7">
                  <c:v>105.2</c:v>
                </c:pt>
                <c:pt idx="8">
                  <c:v>104</c:v>
                </c:pt>
                <c:pt idx="9">
                  <c:v>106.8</c:v>
                </c:pt>
                <c:pt idx="10">
                  <c:v>105.3</c:v>
                </c:pt>
                <c:pt idx="11">
                  <c:v>108.1</c:v>
                </c:pt>
                <c:pt idx="12">
                  <c:v>106.4</c:v>
                </c:pt>
                <c:pt idx="13">
                  <c:v>109.5</c:v>
                </c:pt>
                <c:pt idx="14">
                  <c:v>107.9</c:v>
                </c:pt>
                <c:pt idx="15">
                  <c:v>110.6</c:v>
                </c:pt>
                <c:pt idx="16">
                  <c:v>109.2</c:v>
                </c:pt>
                <c:pt idx="17">
                  <c:v>112</c:v>
                </c:pt>
                <c:pt idx="18">
                  <c:v>110.5</c:v>
                </c:pt>
              </c:numCache>
            </c:numRef>
          </c:val>
          <c:smooth val="0"/>
          <c:extLst>
            <c:ext xmlns:c16="http://schemas.microsoft.com/office/drawing/2014/chart" uri="{C3380CC4-5D6E-409C-BE32-E72D297353CC}">
              <c16:uniqueId val="{00000002-F198-D644-8023-073F5691BA2E}"/>
            </c:ext>
          </c:extLst>
        </c:ser>
        <c:dLbls>
          <c:showLegendKey val="0"/>
          <c:showVal val="0"/>
          <c:showCatName val="0"/>
          <c:showSerName val="0"/>
          <c:showPercent val="0"/>
          <c:showBubbleSize val="0"/>
        </c:dLbls>
        <c:smooth val="0"/>
        <c:axId val="83764256"/>
        <c:axId val="83515808"/>
      </c:lineChart>
      <c:catAx>
        <c:axId val="8376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5808"/>
        <c:crosses val="autoZero"/>
        <c:auto val="1"/>
        <c:lblAlgn val="ctr"/>
        <c:lblOffset val="100"/>
        <c:noMultiLvlLbl val="0"/>
      </c:catAx>
      <c:valAx>
        <c:axId val="8351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C00000"/>
                </a:solidFill>
                <a:latin typeface="+mn-lt"/>
                <a:ea typeface="+mn-ea"/>
                <a:cs typeface="+mn-cs"/>
              </a:defRPr>
            </a:pPr>
            <a:r>
              <a:rPr lang="en-US"/>
              <a:t>Quarterly Ice Cream Sales — Strong Seasonality</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C00000"/>
              </a:solidFill>
              <a:latin typeface="+mn-lt"/>
              <a:ea typeface="+mn-ea"/>
              <a:cs typeface="+mn-cs"/>
            </a:defRPr>
          </a:pPr>
          <a:endParaRPr lang="en-US"/>
        </a:p>
      </c:txPr>
    </c:title>
    <c:autoTitleDeleted val="0"/>
    <c:plotArea>
      <c:layout/>
      <c:barChart>
        <c:barDir val="col"/>
        <c:grouping val="clustered"/>
        <c:varyColors val="0"/>
        <c:ser>
          <c:idx val="0"/>
          <c:order val="0"/>
          <c:tx>
            <c:strRef>
              <c:f>'Illustration 3'!$C$5</c:f>
              <c:strCache>
                <c:ptCount val="1"/>
                <c:pt idx="0">
                  <c:v>Sales (000s)</c:v>
                </c:pt>
              </c:strCache>
            </c:strRef>
          </c:tx>
          <c:spPr>
            <a:solidFill>
              <a:schemeClr val="accent1"/>
            </a:solidFill>
            <a:ln>
              <a:noFill/>
            </a:ln>
            <a:effectLst/>
          </c:spPr>
          <c:invertIfNegative val="0"/>
          <c:cat>
            <c:strRef>
              <c:f>'Illustration 3'!$B$6:$B$21</c:f>
              <c:strCache>
                <c:ptCount val="16"/>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strCache>
            </c:strRef>
          </c:cat>
          <c:val>
            <c:numRef>
              <c:f>'Illustration 3'!$C$6:$C$21</c:f>
              <c:numCache>
                <c:formatCode>General</c:formatCode>
                <c:ptCount val="16"/>
                <c:pt idx="0">
                  <c:v>45</c:v>
                </c:pt>
                <c:pt idx="1">
                  <c:v>120</c:v>
                </c:pt>
                <c:pt idx="2">
                  <c:v>180</c:v>
                </c:pt>
                <c:pt idx="3">
                  <c:v>55</c:v>
                </c:pt>
                <c:pt idx="4">
                  <c:v>52</c:v>
                </c:pt>
                <c:pt idx="5">
                  <c:v>135</c:v>
                </c:pt>
                <c:pt idx="6">
                  <c:v>200</c:v>
                </c:pt>
                <c:pt idx="7">
                  <c:v>62</c:v>
                </c:pt>
                <c:pt idx="8">
                  <c:v>58</c:v>
                </c:pt>
                <c:pt idx="9">
                  <c:v>148</c:v>
                </c:pt>
                <c:pt idx="10">
                  <c:v>218</c:v>
                </c:pt>
                <c:pt idx="11">
                  <c:v>70</c:v>
                </c:pt>
                <c:pt idx="12">
                  <c:v>65</c:v>
                </c:pt>
                <c:pt idx="13">
                  <c:v>160</c:v>
                </c:pt>
                <c:pt idx="14">
                  <c:v>235</c:v>
                </c:pt>
                <c:pt idx="15">
                  <c:v>78</c:v>
                </c:pt>
              </c:numCache>
            </c:numRef>
          </c:val>
          <c:extLst>
            <c:ext xmlns:c16="http://schemas.microsoft.com/office/drawing/2014/chart" uri="{C3380CC4-5D6E-409C-BE32-E72D297353CC}">
              <c16:uniqueId val="{00000000-F950-0543-87A7-B12A14C9289C}"/>
            </c:ext>
          </c:extLst>
        </c:ser>
        <c:dLbls>
          <c:showLegendKey val="0"/>
          <c:showVal val="0"/>
          <c:showCatName val="0"/>
          <c:showSerName val="0"/>
          <c:showPercent val="0"/>
          <c:showBubbleSize val="0"/>
        </c:dLbls>
        <c:gapWidth val="219"/>
        <c:overlap val="-27"/>
        <c:axId val="1757078383"/>
        <c:axId val="1757090991"/>
      </c:barChart>
      <c:catAx>
        <c:axId val="175707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90991"/>
        <c:crosses val="autoZero"/>
        <c:auto val="1"/>
        <c:lblAlgn val="ctr"/>
        <c:lblOffset val="100"/>
        <c:noMultiLvlLbl val="0"/>
      </c:catAx>
      <c:valAx>
        <c:axId val="175709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 (000s)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7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70C0"/>
                </a:solidFill>
                <a:latin typeface="+mn-lt"/>
                <a:ea typeface="+mn-ea"/>
                <a:cs typeface="+mn-cs"/>
              </a:defRPr>
            </a:pPr>
            <a:r>
              <a:rPr lang="en-US"/>
              <a:t>Bakery Weekly Sales — Clear Upward Trend</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0070C0"/>
              </a:solidFill>
              <a:latin typeface="+mn-lt"/>
              <a:ea typeface="+mn-ea"/>
              <a:cs typeface="+mn-cs"/>
            </a:defRPr>
          </a:pPr>
          <a:endParaRPr lang="en-US"/>
        </a:p>
      </c:txPr>
    </c:title>
    <c:autoTitleDeleted val="0"/>
    <c:plotArea>
      <c:layout/>
      <c:lineChart>
        <c:grouping val="standard"/>
        <c:varyColors val="0"/>
        <c:ser>
          <c:idx val="0"/>
          <c:order val="0"/>
          <c:tx>
            <c:strRef>
              <c:f>'Case Study 1'!$A$11</c:f>
              <c:strCache>
                <c:ptCount val="1"/>
                <c:pt idx="0">
                  <c:v>Week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'Case Study 1'!$A$12:$A$41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val>
          <c:smooth val="0"/>
          <c:extLst>
            <c:ext xmlns:c16="http://schemas.microsoft.com/office/drawing/2014/chart" uri="{C3380CC4-5D6E-409C-BE32-E72D297353CC}">
              <c16:uniqueId val="{00000000-D9D8-7F45-9255-E066D1992476}"/>
            </c:ext>
          </c:extLst>
        </c:ser>
        <c:ser>
          <c:idx val="1"/>
          <c:order val="1"/>
          <c:tx>
            <c:strRef>
              <c:f>'Case Study 1'!$B$11</c:f>
              <c:strCache>
                <c:ptCount val="1"/>
                <c:pt idx="0">
                  <c:v>Loaves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'Case Study 1'!$B$12:$B$41</c:f>
              <c:numCache>
                <c:formatCode>General</c:formatCode>
                <c:ptCount val="30"/>
                <c:pt idx="0">
                  <c:v>200</c:v>
                </c:pt>
                <c:pt idx="1">
                  <c:v>214</c:v>
                </c:pt>
                <c:pt idx="2">
                  <c:v>208</c:v>
                </c:pt>
                <c:pt idx="3">
                  <c:v>222</c:v>
                </c:pt>
                <c:pt idx="4">
                  <c:v>218</c:v>
                </c:pt>
                <c:pt idx="5">
                  <c:v>231</c:v>
                </c:pt>
                <c:pt idx="6">
                  <c:v>225</c:v>
                </c:pt>
                <c:pt idx="7">
                  <c:v>240</c:v>
                </c:pt>
                <c:pt idx="8">
                  <c:v>236</c:v>
                </c:pt>
                <c:pt idx="9">
                  <c:v>248</c:v>
                </c:pt>
                <c:pt idx="10">
                  <c:v>243</c:v>
                </c:pt>
                <c:pt idx="11">
                  <c:v>257</c:v>
                </c:pt>
                <c:pt idx="12">
                  <c:v>250</c:v>
                </c:pt>
                <c:pt idx="13">
                  <c:v>265</c:v>
                </c:pt>
                <c:pt idx="14">
                  <c:v>260</c:v>
                </c:pt>
                <c:pt idx="15">
                  <c:v>273</c:v>
                </c:pt>
                <c:pt idx="16">
                  <c:v>268</c:v>
                </c:pt>
                <c:pt idx="17">
                  <c:v>282</c:v>
                </c:pt>
                <c:pt idx="18">
                  <c:v>276</c:v>
                </c:pt>
                <c:pt idx="19">
                  <c:v>290</c:v>
                </c:pt>
                <c:pt idx="20">
                  <c:v>285</c:v>
                </c:pt>
                <c:pt idx="21">
                  <c:v>298</c:v>
                </c:pt>
                <c:pt idx="22">
                  <c:v>292</c:v>
                </c:pt>
                <c:pt idx="23">
                  <c:v>305</c:v>
                </c:pt>
                <c:pt idx="24">
                  <c:v>300</c:v>
                </c:pt>
                <c:pt idx="25">
                  <c:v>314</c:v>
                </c:pt>
                <c:pt idx="26">
                  <c:v>308</c:v>
                </c:pt>
                <c:pt idx="27">
                  <c:v>322</c:v>
                </c:pt>
                <c:pt idx="28">
                  <c:v>316</c:v>
                </c:pt>
                <c:pt idx="29">
                  <c:v>330</c:v>
                </c:pt>
              </c:numCache>
            </c:numRef>
          </c:val>
          <c:smooth val="0"/>
          <c:extLst>
            <c:ext xmlns:c16="http://schemas.microsoft.com/office/drawing/2014/chart" uri="{C3380CC4-5D6E-409C-BE32-E72D297353CC}">
              <c16:uniqueId val="{00000001-D9D8-7F45-9255-E066D1992476}"/>
            </c:ext>
          </c:extLst>
        </c:ser>
        <c:dLbls>
          <c:showLegendKey val="0"/>
          <c:showVal val="0"/>
          <c:showCatName val="0"/>
          <c:showSerName val="0"/>
          <c:showPercent val="0"/>
          <c:showBubbleSize val="0"/>
        </c:dLbls>
        <c:marker val="1"/>
        <c:smooth val="0"/>
        <c:axId val="1557319568"/>
        <c:axId val="1757083199"/>
      </c:lineChart>
      <c:catAx>
        <c:axId val="1557319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83199"/>
        <c:crosses val="autoZero"/>
        <c:auto val="1"/>
        <c:lblAlgn val="ctr"/>
        <c:lblOffset val="100"/>
        <c:noMultiLvlLbl val="0"/>
      </c:catAx>
      <c:valAx>
        <c:axId val="175708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Loaves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31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B050"/>
                </a:solidFill>
                <a:latin typeface="+mn-lt"/>
                <a:ea typeface="+mn-ea"/>
                <a:cs typeface="+mn-cs"/>
              </a:defRPr>
            </a:pPr>
            <a:r>
              <a:rPr lang="en-US"/>
              <a:t>Monthly Passengers — Trend + Seasonality</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00B050"/>
              </a:solidFill>
              <a:latin typeface="+mn-lt"/>
              <a:ea typeface="+mn-ea"/>
              <a:cs typeface="+mn-cs"/>
            </a:defRPr>
          </a:pPr>
          <a:endParaRPr lang="en-US"/>
        </a:p>
      </c:txPr>
    </c:title>
    <c:autoTitleDeleted val="0"/>
    <c:plotArea>
      <c:layout/>
      <c:lineChart>
        <c:grouping val="standard"/>
        <c:varyColors val="0"/>
        <c:ser>
          <c:idx val="0"/>
          <c:order val="0"/>
          <c:tx>
            <c:strRef>
              <c:f>'Case Study 2'!$B$12</c:f>
              <c:strCache>
                <c:ptCount val="1"/>
                <c:pt idx="0">
                  <c:v>Passengers (000s)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'Case Study 2'!$A$13:$A$48</c:f>
              <c:numCache>
                <c:formatCode>mmm\-yy</c:formatCode>
                <c:ptCount val="36"/>
                <c:pt idx="0">
                  <c:v>46044</c:v>
                </c:pt>
                <c:pt idx="1">
                  <c:v>46075</c:v>
                </c:pt>
                <c:pt idx="2">
                  <c:v>46103</c:v>
                </c:pt>
                <c:pt idx="3">
                  <c:v>46134</c:v>
                </c:pt>
                <c:pt idx="4">
                  <c:v>46164</c:v>
                </c:pt>
                <c:pt idx="5">
                  <c:v>46195</c:v>
                </c:pt>
                <c:pt idx="6">
                  <c:v>46225</c:v>
                </c:pt>
                <c:pt idx="7">
                  <c:v>46256</c:v>
                </c:pt>
                <c:pt idx="8">
                  <c:v>46287</c:v>
                </c:pt>
                <c:pt idx="9">
                  <c:v>46317</c:v>
                </c:pt>
                <c:pt idx="10">
                  <c:v>46348</c:v>
                </c:pt>
                <c:pt idx="11">
                  <c:v>46378</c:v>
                </c:pt>
                <c:pt idx="12">
                  <c:v>46045</c:v>
                </c:pt>
                <c:pt idx="13">
                  <c:v>46076</c:v>
                </c:pt>
                <c:pt idx="14">
                  <c:v>46104</c:v>
                </c:pt>
                <c:pt idx="15">
                  <c:v>46135</c:v>
                </c:pt>
                <c:pt idx="16">
                  <c:v>46165</c:v>
                </c:pt>
                <c:pt idx="17">
                  <c:v>46196</c:v>
                </c:pt>
                <c:pt idx="18">
                  <c:v>46226</c:v>
                </c:pt>
                <c:pt idx="19">
                  <c:v>46257</c:v>
                </c:pt>
                <c:pt idx="20">
                  <c:v>46288</c:v>
                </c:pt>
                <c:pt idx="21">
                  <c:v>46318</c:v>
                </c:pt>
                <c:pt idx="22">
                  <c:v>46349</c:v>
                </c:pt>
                <c:pt idx="23">
                  <c:v>46379</c:v>
                </c:pt>
                <c:pt idx="24">
                  <c:v>46046</c:v>
                </c:pt>
                <c:pt idx="25">
                  <c:v>46077</c:v>
                </c:pt>
                <c:pt idx="26">
                  <c:v>46105</c:v>
                </c:pt>
                <c:pt idx="27">
                  <c:v>46136</c:v>
                </c:pt>
                <c:pt idx="28">
                  <c:v>46166</c:v>
                </c:pt>
                <c:pt idx="29">
                  <c:v>46197</c:v>
                </c:pt>
                <c:pt idx="30">
                  <c:v>46227</c:v>
                </c:pt>
                <c:pt idx="31">
                  <c:v>46258</c:v>
                </c:pt>
                <c:pt idx="32">
                  <c:v>46289</c:v>
                </c:pt>
                <c:pt idx="33">
                  <c:v>46319</c:v>
                </c:pt>
                <c:pt idx="34">
                  <c:v>46350</c:v>
                </c:pt>
                <c:pt idx="35">
                  <c:v>46380</c:v>
                </c:pt>
              </c:numCache>
            </c:numRef>
          </c:cat>
          <c:val>
            <c:numRef>
              <c:f>'Case Study 2'!$B$13:$B$48</c:f>
              <c:numCache>
                <c:formatCode>General</c:formatCode>
                <c:ptCount val="36"/>
                <c:pt idx="0">
                  <c:v>112</c:v>
                </c:pt>
                <c:pt idx="1">
                  <c:v>118</c:v>
                </c:pt>
                <c:pt idx="2">
                  <c:v>132</c:v>
                </c:pt>
                <c:pt idx="3">
                  <c:v>129</c:v>
                </c:pt>
                <c:pt idx="4">
                  <c:v>121</c:v>
                </c:pt>
                <c:pt idx="5">
                  <c:v>135</c:v>
                </c:pt>
                <c:pt idx="6">
                  <c:v>148</c:v>
                </c:pt>
                <c:pt idx="7">
                  <c:v>152</c:v>
                </c:pt>
                <c:pt idx="8">
                  <c:v>136</c:v>
                </c:pt>
                <c:pt idx="9">
                  <c:v>119</c:v>
                </c:pt>
                <c:pt idx="10">
                  <c:v>104</c:v>
                </c:pt>
                <c:pt idx="11">
                  <c:v>118</c:v>
                </c:pt>
                <c:pt idx="12">
                  <c:v>120</c:v>
                </c:pt>
                <c:pt idx="13">
                  <c:v>126</c:v>
                </c:pt>
                <c:pt idx="14">
                  <c:v>141</c:v>
                </c:pt>
                <c:pt idx="15">
                  <c:v>138</c:v>
                </c:pt>
                <c:pt idx="16">
                  <c:v>131</c:v>
                </c:pt>
                <c:pt idx="17">
                  <c:v>146</c:v>
                </c:pt>
                <c:pt idx="18">
                  <c:v>160</c:v>
                </c:pt>
                <c:pt idx="19">
                  <c:v>165</c:v>
                </c:pt>
                <c:pt idx="20">
                  <c:v>149</c:v>
                </c:pt>
                <c:pt idx="21">
                  <c:v>130</c:v>
                </c:pt>
                <c:pt idx="22">
                  <c:v>112</c:v>
                </c:pt>
                <c:pt idx="23">
                  <c:v>126</c:v>
                </c:pt>
                <c:pt idx="24">
                  <c:v>128</c:v>
                </c:pt>
                <c:pt idx="25">
                  <c:v>135</c:v>
                </c:pt>
                <c:pt idx="26">
                  <c:v>150</c:v>
                </c:pt>
                <c:pt idx="27">
                  <c:v>148</c:v>
                </c:pt>
                <c:pt idx="28">
                  <c:v>140</c:v>
                </c:pt>
                <c:pt idx="29">
                  <c:v>157</c:v>
                </c:pt>
                <c:pt idx="30">
                  <c:v>172</c:v>
                </c:pt>
                <c:pt idx="31">
                  <c:v>178</c:v>
                </c:pt>
                <c:pt idx="32">
                  <c:v>161</c:v>
                </c:pt>
                <c:pt idx="33">
                  <c:v>141</c:v>
                </c:pt>
                <c:pt idx="34">
                  <c:v>121</c:v>
                </c:pt>
                <c:pt idx="35">
                  <c:v>135</c:v>
                </c:pt>
              </c:numCache>
            </c:numRef>
          </c:val>
          <c:smooth val="0"/>
          <c:extLst>
            <c:ext xmlns:c16="http://schemas.microsoft.com/office/drawing/2014/chart" uri="{C3380CC4-5D6E-409C-BE32-E72D297353CC}">
              <c16:uniqueId val="{00000000-FF8F-254F-A4C0-D799C4C9FACF}"/>
            </c:ext>
          </c:extLst>
        </c:ser>
        <c:dLbls>
          <c:showLegendKey val="0"/>
          <c:showVal val="0"/>
          <c:showCatName val="0"/>
          <c:showSerName val="0"/>
          <c:showPercent val="0"/>
          <c:showBubbleSize val="0"/>
        </c:dLbls>
        <c:marker val="1"/>
        <c:smooth val="0"/>
        <c:axId val="1757008623"/>
        <c:axId val="1665047360"/>
      </c:lineChart>
      <c:dateAx>
        <c:axId val="17570086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47360"/>
        <c:crosses val="autoZero"/>
        <c:auto val="1"/>
        <c:lblOffset val="100"/>
        <c:baseTimeUnit val="days"/>
      </c:dateAx>
      <c:valAx>
        <c:axId val="1665047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Passengers (000s)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0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C00000"/>
                </a:solidFill>
                <a:latin typeface="+mn-lt"/>
                <a:ea typeface="+mn-ea"/>
                <a:cs typeface="+mn-cs"/>
              </a:defRPr>
            </a:pPr>
            <a:r>
              <a:rPr lang="en-US"/>
              <a:t>Original Series — NON-STATIONARY (trending upward)</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C00000"/>
              </a:solidFill>
              <a:latin typeface="+mn-lt"/>
              <a:ea typeface="+mn-ea"/>
              <a:cs typeface="+mn-cs"/>
            </a:defRPr>
          </a:pPr>
          <a:endParaRPr lang="en-US"/>
        </a:p>
      </c:txPr>
    </c:title>
    <c:autoTitleDeleted val="0"/>
    <c:plotArea>
      <c:layout/>
      <c:lineChart>
        <c:grouping val="standard"/>
        <c:varyColors val="0"/>
        <c:ser>
          <c:idx val="1"/>
          <c:order val="0"/>
          <c:tx>
            <c:strRef>
              <c:f>'Stationarity Check'!$B$14</c:f>
              <c:strCache>
                <c:ptCount val="1"/>
                <c:pt idx="0">
                  <c:v>Yt (Original)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'Stationarity Check'!$B$15:$B$46</c:f>
              <c:numCache>
                <c:formatCode>General</c:formatCode>
                <c:ptCount val="32"/>
                <c:pt idx="0">
                  <c:v>50</c:v>
                </c:pt>
                <c:pt idx="1">
                  <c:v>55</c:v>
                </c:pt>
                <c:pt idx="2">
                  <c:v>52</c:v>
                </c:pt>
                <c:pt idx="3">
                  <c:v>60</c:v>
                </c:pt>
                <c:pt idx="4">
                  <c:v>63</c:v>
                </c:pt>
                <c:pt idx="5">
                  <c:v>58</c:v>
                </c:pt>
                <c:pt idx="6">
                  <c:v>67</c:v>
                </c:pt>
                <c:pt idx="7">
                  <c:v>72</c:v>
                </c:pt>
                <c:pt idx="8">
                  <c:v>68</c:v>
                </c:pt>
                <c:pt idx="9">
                  <c:v>75</c:v>
                </c:pt>
                <c:pt idx="10">
                  <c:v>80</c:v>
                </c:pt>
                <c:pt idx="11">
                  <c:v>76</c:v>
                </c:pt>
                <c:pt idx="12">
                  <c:v>83</c:v>
                </c:pt>
                <c:pt idx="13">
                  <c:v>88</c:v>
                </c:pt>
                <c:pt idx="14">
                  <c:v>85</c:v>
                </c:pt>
                <c:pt idx="15">
                  <c:v>92</c:v>
                </c:pt>
                <c:pt idx="16">
                  <c:v>96</c:v>
                </c:pt>
                <c:pt idx="17">
                  <c:v>91</c:v>
                </c:pt>
                <c:pt idx="18">
                  <c:v>100</c:v>
                </c:pt>
                <c:pt idx="19">
                  <c:v>105</c:v>
                </c:pt>
                <c:pt idx="28">
                  <c:v>99</c:v>
                </c:pt>
                <c:pt idx="29">
                  <c:v>108</c:v>
                </c:pt>
                <c:pt idx="30">
                  <c:v>112</c:v>
                </c:pt>
                <c:pt idx="31">
                  <c:v>107</c:v>
                </c:pt>
              </c:numCache>
            </c:numRef>
          </c:val>
          <c:smooth val="0"/>
          <c:extLst>
            <c:ext xmlns:c16="http://schemas.microsoft.com/office/drawing/2014/chart" uri="{C3380CC4-5D6E-409C-BE32-E72D297353CC}">
              <c16:uniqueId val="{00000001-485C-9B4A-989A-6AFE649B3D80}"/>
            </c:ext>
          </c:extLst>
        </c:ser>
        <c:dLbls>
          <c:showLegendKey val="0"/>
          <c:showVal val="0"/>
          <c:showCatName val="0"/>
          <c:showSerName val="0"/>
          <c:showPercent val="0"/>
          <c:showBubbleSize val="0"/>
        </c:dLbls>
        <c:marker val="1"/>
        <c:smooth val="0"/>
        <c:axId val="248932783"/>
        <c:axId val="83581312"/>
      </c:lineChart>
      <c:catAx>
        <c:axId val="2489327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81312"/>
        <c:crosses val="autoZero"/>
        <c:auto val="1"/>
        <c:lblAlgn val="ctr"/>
        <c:lblOffset val="100"/>
        <c:noMultiLvlLbl val="0"/>
      </c:catAx>
      <c:valAx>
        <c:axId val="8358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(Yt)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3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Differenced Series — STATIONARY (fluctuates around mean)</a:t>
            </a:r>
          </a:p>
        </c:rich>
      </c:tx>
      <c:overlay val="0"/>
      <c:spPr>
        <a:noFill/>
        <a:ln>
          <a:noFill/>
        </a:ln>
        <a:effectLst/>
      </c:spPr>
      <c:txPr>
        <a:bodyPr rot="0" spcFirstLastPara="1" vertOverflow="ellipsis" vert="horz" wrap="square" anchor="ctr" anchorCtr="1"/>
        <a:lstStyle/>
        <a:p>
          <a:pPr>
            <a:defRPr sz="26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0"/>
          <c:tx>
            <c:strRef>
              <c:f>'Stationarity Check'!$B$49</c:f>
              <c:strCache>
                <c:ptCount val="1"/>
                <c:pt idx="0">
                  <c:v>ΔYt = Yt – Yt-1</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trendline>
            <c:spPr>
              <a:ln w="19050" cap="rnd">
                <a:solidFill>
                  <a:schemeClr val="accent2"/>
                </a:solidFill>
              </a:ln>
              <a:effectLst/>
            </c:spPr>
            <c:trendlineType val="linear"/>
            <c:dispRSqr val="0"/>
            <c:dispEq val="0"/>
          </c:trendline>
          <c:val>
            <c:numRef>
              <c:f>'Stationarity Check'!$B$50:$B$72</c:f>
              <c:numCache>
                <c:formatCode>#,##0</c:formatCode>
                <c:ptCount val="23"/>
                <c:pt idx="0">
                  <c:v>5</c:v>
                </c:pt>
                <c:pt idx="1">
                  <c:v>-3</c:v>
                </c:pt>
                <c:pt idx="2">
                  <c:v>8</c:v>
                </c:pt>
                <c:pt idx="3">
                  <c:v>3</c:v>
                </c:pt>
                <c:pt idx="4">
                  <c:v>-5</c:v>
                </c:pt>
                <c:pt idx="5">
                  <c:v>9</c:v>
                </c:pt>
                <c:pt idx="6">
                  <c:v>5</c:v>
                </c:pt>
                <c:pt idx="7">
                  <c:v>-4</c:v>
                </c:pt>
                <c:pt idx="8">
                  <c:v>7</c:v>
                </c:pt>
                <c:pt idx="9">
                  <c:v>5</c:v>
                </c:pt>
                <c:pt idx="10">
                  <c:v>-4</c:v>
                </c:pt>
                <c:pt idx="11">
                  <c:v>7</c:v>
                </c:pt>
                <c:pt idx="12">
                  <c:v>5</c:v>
                </c:pt>
                <c:pt idx="13">
                  <c:v>-3</c:v>
                </c:pt>
                <c:pt idx="14">
                  <c:v>7</c:v>
                </c:pt>
                <c:pt idx="15">
                  <c:v>4</c:v>
                </c:pt>
                <c:pt idx="16">
                  <c:v>-5</c:v>
                </c:pt>
                <c:pt idx="17">
                  <c:v>9</c:v>
                </c:pt>
                <c:pt idx="18">
                  <c:v>5</c:v>
                </c:pt>
                <c:pt idx="19">
                  <c:v>-6</c:v>
                </c:pt>
                <c:pt idx="20">
                  <c:v>9</c:v>
                </c:pt>
                <c:pt idx="21">
                  <c:v>4</c:v>
                </c:pt>
                <c:pt idx="22">
                  <c:v>-5</c:v>
                </c:pt>
              </c:numCache>
            </c:numRef>
          </c:val>
          <c:smooth val="0"/>
          <c:extLst>
            <c:ext xmlns:c16="http://schemas.microsoft.com/office/drawing/2014/chart" uri="{C3380CC4-5D6E-409C-BE32-E72D297353CC}">
              <c16:uniqueId val="{00000001-9BD2-5C43-BA87-002E363F530B}"/>
            </c:ext>
          </c:extLst>
        </c:ser>
        <c:dLbls>
          <c:showLegendKey val="0"/>
          <c:showVal val="0"/>
          <c:showCatName val="0"/>
          <c:showSerName val="0"/>
          <c:showPercent val="0"/>
          <c:showBubbleSize val="0"/>
        </c:dLbls>
        <c:smooth val="0"/>
        <c:axId val="83883296"/>
        <c:axId val="83855104"/>
      </c:lineChart>
      <c:catAx>
        <c:axId val="83883296"/>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200" b="0" i="0" u="none" strike="noStrike" kern="1200" baseline="0">
                <a:solidFill>
                  <a:schemeClr val="lt1">
                    <a:lumMod val="85000"/>
                  </a:schemeClr>
                </a:solidFill>
                <a:latin typeface="+mn-lt"/>
                <a:ea typeface="+mn-ea"/>
                <a:cs typeface="+mn-cs"/>
              </a:defRPr>
            </a:pPr>
            <a:endParaRPr lang="en-US"/>
          </a:p>
        </c:txPr>
        <c:crossAx val="83855104"/>
        <c:crosses val="autoZero"/>
        <c:auto val="1"/>
        <c:lblAlgn val="ctr"/>
        <c:lblOffset val="100"/>
        <c:noMultiLvlLbl val="0"/>
      </c:catAx>
      <c:valAx>
        <c:axId val="838551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2200" b="1" i="0" u="none" strike="noStrike" kern="1200" cap="all" baseline="0">
                    <a:solidFill>
                      <a:schemeClr val="lt1">
                        <a:lumMod val="85000"/>
                      </a:schemeClr>
                    </a:solidFill>
                    <a:latin typeface="+mn-lt"/>
                    <a:ea typeface="+mn-ea"/>
                    <a:cs typeface="+mn-cs"/>
                  </a:defRPr>
                </a:pPr>
                <a:r>
                  <a:rPr lang="en-GB"/>
                  <a:t>Change (</a:t>
                </a:r>
                <a:r>
                  <a:rPr lang="el-GR"/>
                  <a:t>Δ</a:t>
                </a:r>
                <a:r>
                  <a:rPr lang="en-GB"/>
                  <a:t>Yt)</a:t>
                </a:r>
              </a:p>
            </c:rich>
          </c:tx>
          <c:overlay val="0"/>
          <c:spPr>
            <a:noFill/>
            <a:ln>
              <a:noFill/>
            </a:ln>
            <a:effectLst/>
          </c:spPr>
          <c:txPr>
            <a:bodyPr rot="-5400000" spcFirstLastPara="1" vertOverflow="ellipsis" vert="horz" wrap="square" anchor="ctr" anchorCtr="1"/>
            <a:lstStyle/>
            <a:p>
              <a:pPr>
                <a:defRPr sz="22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200" b="0" i="0" u="none" strike="noStrike" kern="1200" baseline="0">
                <a:solidFill>
                  <a:schemeClr val="lt1">
                    <a:lumMod val="85000"/>
                  </a:schemeClr>
                </a:solidFill>
                <a:latin typeface="+mn-lt"/>
                <a:ea typeface="+mn-ea"/>
                <a:cs typeface="+mn-cs"/>
              </a:defRPr>
            </a:pPr>
            <a:endParaRPr lang="en-US"/>
          </a:p>
        </c:txPr>
        <c:crossAx val="8388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14</xdr:col>
      <xdr:colOff>0</xdr:colOff>
      <xdr:row>32</xdr:row>
      <xdr:rowOff>0</xdr:rowOff>
    </xdr:to>
    <xdr:graphicFrame macro="">
      <xdr:nvGraphicFramePr>
        <xdr:cNvPr id="4" name="Chart 3">
          <a:extLst>
            <a:ext uri="{FF2B5EF4-FFF2-40B4-BE49-F238E27FC236}">
              <a16:creationId xmlns:a16="http://schemas.microsoft.com/office/drawing/2014/main" id="{52202102-2684-F7FC-19AD-2869C6102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20</xdr:row>
      <xdr:rowOff>0</xdr:rowOff>
    </xdr:from>
    <xdr:to>
      <xdr:col>14</xdr:col>
      <xdr:colOff>0</xdr:colOff>
      <xdr:row>38</xdr:row>
      <xdr:rowOff>0</xdr:rowOff>
    </xdr:to>
    <xdr:graphicFrame macro="">
      <xdr:nvGraphicFramePr>
        <xdr:cNvPr id="2" name="Chart 1">
          <a:extLst>
            <a:ext uri="{FF2B5EF4-FFF2-40B4-BE49-F238E27FC236}">
              <a16:creationId xmlns:a16="http://schemas.microsoft.com/office/drawing/2014/main" id="{F7C51A59-B373-AE64-FF0F-290809811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28</xdr:row>
      <xdr:rowOff>0</xdr:rowOff>
    </xdr:from>
    <xdr:to>
      <xdr:col>15</xdr:col>
      <xdr:colOff>0</xdr:colOff>
      <xdr:row>46</xdr:row>
      <xdr:rowOff>0</xdr:rowOff>
    </xdr:to>
    <xdr:graphicFrame macro="">
      <xdr:nvGraphicFramePr>
        <xdr:cNvPr id="2" name="Chart 1">
          <a:extLst>
            <a:ext uri="{FF2B5EF4-FFF2-40B4-BE49-F238E27FC236}">
              <a16:creationId xmlns:a16="http://schemas.microsoft.com/office/drawing/2014/main" id="{C35D8D44-A9A8-3894-EC28-841CA98D5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49</xdr:row>
      <xdr:rowOff>0</xdr:rowOff>
    </xdr:from>
    <xdr:to>
      <xdr:col>14</xdr:col>
      <xdr:colOff>0</xdr:colOff>
      <xdr:row>66</xdr:row>
      <xdr:rowOff>0</xdr:rowOff>
    </xdr:to>
    <xdr:graphicFrame macro="">
      <xdr:nvGraphicFramePr>
        <xdr:cNvPr id="3" name="Chart 2">
          <a:extLst>
            <a:ext uri="{FF2B5EF4-FFF2-40B4-BE49-F238E27FC236}">
              <a16:creationId xmlns:a16="http://schemas.microsoft.com/office/drawing/2014/main" id="{C4BA6346-F292-E96E-718B-66DCB9F81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40</xdr:row>
      <xdr:rowOff>0</xdr:rowOff>
    </xdr:from>
    <xdr:to>
      <xdr:col>15</xdr:col>
      <xdr:colOff>0</xdr:colOff>
      <xdr:row>58</xdr:row>
      <xdr:rowOff>0</xdr:rowOff>
    </xdr:to>
    <xdr:graphicFrame macro="">
      <xdr:nvGraphicFramePr>
        <xdr:cNvPr id="2" name="Chart 1">
          <a:extLst>
            <a:ext uri="{FF2B5EF4-FFF2-40B4-BE49-F238E27FC236}">
              <a16:creationId xmlns:a16="http://schemas.microsoft.com/office/drawing/2014/main" id="{412F91D6-D05F-8271-4912-49C901B02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73</xdr:row>
      <xdr:rowOff>0</xdr:rowOff>
    </xdr:from>
    <xdr:to>
      <xdr:col>6</xdr:col>
      <xdr:colOff>0</xdr:colOff>
      <xdr:row>90</xdr:row>
      <xdr:rowOff>0</xdr:rowOff>
    </xdr:to>
    <xdr:graphicFrame macro="">
      <xdr:nvGraphicFramePr>
        <xdr:cNvPr id="2" name="Chart 1">
          <a:extLst>
            <a:ext uri="{FF2B5EF4-FFF2-40B4-BE49-F238E27FC236}">
              <a16:creationId xmlns:a16="http://schemas.microsoft.com/office/drawing/2014/main" id="{C876F25C-E4FA-9367-2C2A-FE51EACCC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68</xdr:row>
      <xdr:rowOff>0</xdr:rowOff>
    </xdr:from>
    <xdr:to>
      <xdr:col>12</xdr:col>
      <xdr:colOff>0</xdr:colOff>
      <xdr:row>85</xdr:row>
      <xdr:rowOff>0</xdr:rowOff>
    </xdr:to>
    <xdr:graphicFrame macro="">
      <xdr:nvGraphicFramePr>
        <xdr:cNvPr id="3" name="Chart 2">
          <a:extLst>
            <a:ext uri="{FF2B5EF4-FFF2-40B4-BE49-F238E27FC236}">
              <a16:creationId xmlns:a16="http://schemas.microsoft.com/office/drawing/2014/main" id="{B3D69B86-E20A-D17D-880C-BC7F8B890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1" c="13">
    <v t="i">0</v>
    <v t="i">30</v>
    <v t="i">61</v>
    <v t="i">91</v>
    <v t="i">122</v>
    <v t="i">153</v>
    <v t="i">183</v>
    <v t="i">214</v>
    <v t="i">244</v>
    <v t="i">275</v>
    <v t="i">306</v>
    <v t="i">334</v>
    <v t="i">365</v>
  </a>
  <a r="1" c="13">
    <v>788.65</v>
    <v>812.3</v>
    <v>820.35</v>
    <v>796.55</v>
    <v>802.5</v>
    <v>872.45</v>
    <v>937</v>
    <v>979</v>
    <v>982.2</v>
    <v>1077.1500000000001</v>
    <v>1201.7</v>
    <v>979.4</v>
    <v>1066.7</v>
  </a>
</arrayData>
</file>

<file path=xl/richData/rdrichvalue.xml><?xml version="1.0" encoding="utf-8"?>
<rvData xmlns="http://schemas.microsoft.com/office/spreadsheetml/2017/richdata" count="27">
  <rv s="0">
    <fb>45748</fb>
    <v>0</v>
  </rv>
  <rv s="0">
    <fb>788.65</fb>
    <v>1</v>
  </rv>
  <rv s="0">
    <fb>45778</fb>
    <v>0</v>
  </rv>
  <rv s="0">
    <fb>812.3</fb>
    <v>1</v>
  </rv>
  <rv s="0">
    <fb>45809</fb>
    <v>0</v>
  </rv>
  <rv s="0">
    <fb>820.35</fb>
    <v>1</v>
  </rv>
  <rv s="0">
    <fb>45839</fb>
    <v>0</v>
  </rv>
  <rv s="0">
    <fb>796.55</fb>
    <v>1</v>
  </rv>
  <rv s="0">
    <fb>45870</fb>
    <v>0</v>
  </rv>
  <rv s="0">
    <fb>802.5</fb>
    <v>1</v>
  </rv>
  <rv s="0">
    <fb>45901</fb>
    <v>0</v>
  </rv>
  <rv s="0">
    <fb>872.45</fb>
    <v>1</v>
  </rv>
  <rv s="0">
    <fb>45931</fb>
    <v>0</v>
  </rv>
  <rv s="0">
    <fb>937</fb>
    <v>1</v>
  </rv>
  <rv s="0">
    <fb>45962</fb>
    <v>0</v>
  </rv>
  <rv s="0">
    <fb>979</fb>
    <v>1</v>
  </rv>
  <rv s="0">
    <fb>45992</fb>
    <v>0</v>
  </rv>
  <rv s="0">
    <fb>982.2</fb>
    <v>1</v>
  </rv>
  <rv s="0">
    <fb>46023</fb>
    <v>0</v>
  </rv>
  <rv s="0">
    <fb>1077.1500000000001</fb>
    <v>1</v>
  </rv>
  <rv s="0">
    <fb>46054</fb>
    <v>0</v>
  </rv>
  <rv s="0">
    <fb>1201.7</fb>
    <v>1</v>
  </rv>
  <rv s="0">
    <fb>46082</fb>
    <v>0</v>
  </rv>
  <rv s="0">
    <fb>979.4</fb>
    <v>1</v>
  </rv>
  <rv s="0">
    <fb>46113</fb>
    <v>0</v>
  </rv>
  <rv s="0">
    <fb>1066.7</fb>
    <v>1</v>
  </rv>
  <rv s="1">
    <v>2</v>
    <v>SBIN</v>
    <v>Monthly</v>
    <v>45748</v>
    <v>46142</v>
    <v>0</v>
    <v>1</v>
    <v>639113760000000000,639114492763645705,0</v>
    <v>0</v>
    <v>ahju6h</v>
    <v>XNSE:SBIN</v>
    <v>1</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dd/mm/yy"/>
    </x:dxf>
  </dxfs>
  <richProperties>
    <rPr n="NumberFormat" t="s"/>
  </richProperties>
  <richStyles>
    <rSty dxfid="1"/>
    <rSty dxfid="0">
      <rpv i="0">_([$₹-en-IN]* #,##0.00_);_([$₹-en-IN]* (#,##0.00);_([$₹-en-IN]*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7BA87B-A703-DA4B-88BD-F0551EEA3AED}">
  <we:reference id="wa200009404" version="1.0.0.8" store="en-US" storeType="OMEX"/>
  <we:alternateReferences>
    <we:reference id="WA200009404" version="1.0.0.8" store="" storeType="OMEX"/>
  </we:alternateReferences>
  <we:properties>
    <we:property name="claude.fileId" value="&quot;7bc72ade-f407-41f3-adc5-84ca8bcb693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2189-671F-9142-9B52-8452DD232C1B}">
  <sheetPr>
    <tabColor rgb="FF1F4E79"/>
  </sheetPr>
  <dimension ref="A1:C16"/>
  <sheetViews>
    <sheetView tabSelected="1" workbookViewId="0">
      <selection activeCell="C18" sqref="C18"/>
    </sheetView>
  </sheetViews>
  <sheetFormatPr baseColWidth="10" defaultRowHeight="29" x14ac:dyDescent="0.35"/>
  <cols>
    <col min="1" max="1" width="6.6640625" style="1" customWidth="1"/>
    <col min="2" max="2" width="23.33203125" style="1" customWidth="1"/>
    <col min="3" max="3" width="83.33203125" style="1" customWidth="1"/>
    <col min="4" max="16384" width="10.83203125" style="1"/>
  </cols>
  <sheetData>
    <row r="1" spans="1:3" ht="30" customHeight="1" x14ac:dyDescent="0.35">
      <c r="A1" s="251" t="s">
        <v>0</v>
      </c>
      <c r="B1" s="251"/>
      <c r="C1" s="251"/>
    </row>
    <row r="2" spans="1:3" x14ac:dyDescent="0.35">
      <c r="A2" s="252" t="s">
        <v>1</v>
      </c>
      <c r="B2" s="252"/>
      <c r="C2" s="252"/>
    </row>
    <row r="4" spans="1:3" ht="28" customHeight="1" x14ac:dyDescent="0.35">
      <c r="A4" s="2" t="s">
        <v>2</v>
      </c>
      <c r="B4" s="3"/>
      <c r="C4" s="3"/>
    </row>
    <row r="6" spans="1:3" x14ac:dyDescent="0.35">
      <c r="A6" s="4" t="s">
        <v>3</v>
      </c>
      <c r="B6" s="5" t="s">
        <v>4</v>
      </c>
      <c r="C6" s="5" t="s">
        <v>5</v>
      </c>
    </row>
    <row r="7" spans="1:3" ht="24" customHeight="1" x14ac:dyDescent="0.35">
      <c r="A7" s="6">
        <v>1</v>
      </c>
      <c r="B7" s="7" t="s">
        <v>6</v>
      </c>
      <c r="C7" s="1" t="s">
        <v>7</v>
      </c>
    </row>
    <row r="8" spans="1:3" ht="24" customHeight="1" x14ac:dyDescent="0.35">
      <c r="A8" s="8">
        <v>2</v>
      </c>
      <c r="B8" s="9" t="s">
        <v>8</v>
      </c>
      <c r="C8" s="10" t="s">
        <v>9</v>
      </c>
    </row>
    <row r="9" spans="1:3" ht="24" customHeight="1" x14ac:dyDescent="0.35">
      <c r="A9" s="8">
        <v>3</v>
      </c>
      <c r="B9" s="9" t="s">
        <v>10</v>
      </c>
      <c r="C9" s="10" t="s">
        <v>11</v>
      </c>
    </row>
    <row r="10" spans="1:3" ht="24" customHeight="1" x14ac:dyDescent="0.35">
      <c r="A10" s="8">
        <v>4</v>
      </c>
      <c r="B10" s="9" t="s">
        <v>12</v>
      </c>
      <c r="C10" s="10" t="s">
        <v>13</v>
      </c>
    </row>
    <row r="11" spans="1:3" ht="24" customHeight="1" x14ac:dyDescent="0.35">
      <c r="A11" s="8">
        <v>5</v>
      </c>
      <c r="B11" s="9" t="s">
        <v>14</v>
      </c>
      <c r="C11" s="10" t="s">
        <v>15</v>
      </c>
    </row>
    <row r="12" spans="1:3" ht="24" customHeight="1" x14ac:dyDescent="0.35">
      <c r="A12" s="8">
        <v>6</v>
      </c>
      <c r="B12" s="9" t="s">
        <v>16</v>
      </c>
      <c r="C12" s="10" t="s">
        <v>17</v>
      </c>
    </row>
    <row r="13" spans="1:3" ht="24" customHeight="1" x14ac:dyDescent="0.35">
      <c r="A13" s="8">
        <v>7</v>
      </c>
      <c r="B13" s="9" t="s">
        <v>497</v>
      </c>
      <c r="C13" s="10" t="s">
        <v>498</v>
      </c>
    </row>
    <row r="14" spans="1:3" ht="24" customHeight="1" x14ac:dyDescent="0.35">
      <c r="A14" s="8">
        <v>8</v>
      </c>
      <c r="B14" s="9" t="s">
        <v>499</v>
      </c>
      <c r="C14" s="10" t="s">
        <v>500</v>
      </c>
    </row>
    <row r="15" spans="1:3" ht="24" customHeight="1" x14ac:dyDescent="0.35">
      <c r="A15" s="8">
        <v>9</v>
      </c>
      <c r="B15" s="279" t="s">
        <v>601</v>
      </c>
      <c r="C15" s="10" t="s">
        <v>602</v>
      </c>
    </row>
    <row r="16" spans="1:3" ht="24" customHeight="1" x14ac:dyDescent="0.35">
      <c r="A16" s="280">
        <v>10</v>
      </c>
      <c r="B16" s="281" t="s">
        <v>685</v>
      </c>
      <c r="C16" s="282" t="s">
        <v>686</v>
      </c>
    </row>
  </sheetData>
  <mergeCells count="2">
    <mergeCell ref="A1:C1"/>
    <mergeCell ref="A2:C2"/>
  </mergeCells>
  <hyperlinks>
    <hyperlink ref="B7" location="'ARIMA Basics'!A1" display="ARIMA Basics" xr:uid="{D0AD4DB7-A25A-A243-A8A0-5C1C94ED76A3}"/>
    <hyperlink ref="B8" location="'Illustration 1'!A1" display="Illustration 1" xr:uid="{436E36F1-B848-FD43-B1F1-1EAA3064EF0D}"/>
    <hyperlink ref="B9" location="'Illustration 2'!A1" display="Illustration 2" xr:uid="{6DA405CF-C422-154D-9177-74761016101D}"/>
    <hyperlink ref="B10" location="'Illustration 3'!A1" display="Illustration 3" xr:uid="{42BAE4E1-A14D-B546-82E7-BC28C6BE90E1}"/>
    <hyperlink ref="B11" location="'Limitations'!A1" display="Limitations" xr:uid="{53B2D284-2BDF-3B4F-B32F-8B2DBDC281DB}"/>
    <hyperlink ref="B12" location="'Q&amp;A'!A1" display="Q&amp;A" xr:uid="{37750DE9-5541-B741-85AE-BD4F8B627CEA}"/>
    <hyperlink ref="B13" location="'Case Study 1'!A1" display="Case Study 1" xr:uid="{944CBC4D-4BE4-334C-A616-E1B2267EE6F7}"/>
    <hyperlink ref="B14" location="'Case Study 2'!A1" display="Case Study 2" xr:uid="{B52B61B6-75EC-364E-90FD-9B60145136EC}"/>
    <hyperlink ref="B15" location="'Solver Demo'!A1" display="Solver Demo" xr:uid="{80CD388D-FA1C-E24D-9784-8847196C9897}"/>
    <hyperlink ref="B16" location="'Stationarity Check'!A1" display="Stationarity Check" xr:uid="{1E40D0FE-7542-7F43-973C-D9DC0121B1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F6A1E-A802-314F-8AB9-4BFB4BCC40FE}">
  <sheetPr>
    <tabColor rgb="FF2E75B6"/>
  </sheetPr>
  <dimension ref="A1:D60"/>
  <sheetViews>
    <sheetView topLeftCell="A19" workbookViewId="0">
      <selection activeCell="A35" sqref="A1:XFD1048576"/>
    </sheetView>
  </sheetViews>
  <sheetFormatPr baseColWidth="10" defaultColWidth="27.5" defaultRowHeight="29" x14ac:dyDescent="0.35"/>
  <cols>
    <col min="1" max="1" width="21.6640625" style="1" customWidth="1"/>
    <col min="2" max="2" width="41.6640625" style="1" customWidth="1"/>
    <col min="3" max="4" width="58.33203125" style="1" customWidth="1"/>
    <col min="5" max="16384" width="27.5" style="1"/>
  </cols>
  <sheetData>
    <row r="1" spans="1:4" x14ac:dyDescent="0.35">
      <c r="A1" s="253" t="s">
        <v>18</v>
      </c>
      <c r="B1" s="253"/>
      <c r="C1" s="253"/>
      <c r="D1" s="253"/>
    </row>
    <row r="3" spans="1:4" x14ac:dyDescent="0.35">
      <c r="A3" s="11" t="s">
        <v>19</v>
      </c>
      <c r="B3" s="12"/>
      <c r="C3" s="12"/>
      <c r="D3" s="12"/>
    </row>
    <row r="5" spans="1:4" x14ac:dyDescent="0.35">
      <c r="A5" s="13" t="s">
        <v>20</v>
      </c>
    </row>
    <row r="6" spans="1:4" x14ac:dyDescent="0.35">
      <c r="A6" s="1" t="s">
        <v>21</v>
      </c>
    </row>
    <row r="7" spans="1:4" x14ac:dyDescent="0.35">
      <c r="A7" s="1" t="s">
        <v>22</v>
      </c>
    </row>
    <row r="8" spans="1:4" x14ac:dyDescent="0.35">
      <c r="A8" s="14" t="s">
        <v>23</v>
      </c>
    </row>
    <row r="10" spans="1:4" x14ac:dyDescent="0.35">
      <c r="A10" s="15" t="s">
        <v>24</v>
      </c>
      <c r="B10" s="11" t="s">
        <v>25</v>
      </c>
      <c r="C10" s="11" t="s">
        <v>26</v>
      </c>
      <c r="D10" s="11" t="s">
        <v>27</v>
      </c>
    </row>
    <row r="11" spans="1:4" ht="30" x14ac:dyDescent="0.35">
      <c r="A11" s="16" t="s">
        <v>28</v>
      </c>
      <c r="B11" s="24" t="s">
        <v>29</v>
      </c>
      <c r="C11" s="18" t="s">
        <v>30</v>
      </c>
      <c r="D11" s="19" t="s">
        <v>31</v>
      </c>
    </row>
    <row r="12" spans="1:4" ht="30" x14ac:dyDescent="0.35">
      <c r="A12" s="20" t="s">
        <v>32</v>
      </c>
      <c r="B12" s="24" t="s">
        <v>33</v>
      </c>
      <c r="C12" s="22" t="s">
        <v>34</v>
      </c>
      <c r="D12" s="23" t="s">
        <v>35</v>
      </c>
    </row>
    <row r="13" spans="1:4" ht="30" x14ac:dyDescent="0.35">
      <c r="A13" s="16" t="s">
        <v>36</v>
      </c>
      <c r="B13" s="24" t="s">
        <v>37</v>
      </c>
      <c r="C13" s="18" t="s">
        <v>38</v>
      </c>
      <c r="D13" s="19" t="s">
        <v>39</v>
      </c>
    </row>
    <row r="15" spans="1:4" x14ac:dyDescent="0.35">
      <c r="A15" s="11" t="s">
        <v>40</v>
      </c>
      <c r="B15" s="12"/>
      <c r="C15" s="12"/>
      <c r="D15" s="12"/>
    </row>
    <row r="17" spans="1:4" x14ac:dyDescent="0.35">
      <c r="A17" s="14" t="s">
        <v>41</v>
      </c>
      <c r="B17" s="1" t="s">
        <v>42</v>
      </c>
    </row>
    <row r="18" spans="1:4" x14ac:dyDescent="0.35">
      <c r="B18" s="1" t="s">
        <v>43</v>
      </c>
    </row>
    <row r="19" spans="1:4" x14ac:dyDescent="0.35">
      <c r="B19" s="25" t="s">
        <v>44</v>
      </c>
    </row>
    <row r="21" spans="1:4" x14ac:dyDescent="0.35">
      <c r="A21" s="14" t="s">
        <v>45</v>
      </c>
      <c r="B21" s="1" t="s">
        <v>46</v>
      </c>
    </row>
    <row r="22" spans="1:4" x14ac:dyDescent="0.35">
      <c r="B22" s="1" t="s">
        <v>47</v>
      </c>
    </row>
    <row r="24" spans="1:4" x14ac:dyDescent="0.35">
      <c r="A24" s="14" t="s">
        <v>48</v>
      </c>
      <c r="B24" s="1" t="s">
        <v>49</v>
      </c>
    </row>
    <row r="25" spans="1:4" x14ac:dyDescent="0.35">
      <c r="B25" s="1" t="s">
        <v>50</v>
      </c>
    </row>
    <row r="26" spans="1:4" x14ac:dyDescent="0.35">
      <c r="B26" s="1" t="s">
        <v>51</v>
      </c>
    </row>
    <row r="28" spans="1:4" x14ac:dyDescent="0.35">
      <c r="A28" s="11" t="s">
        <v>52</v>
      </c>
      <c r="B28" s="12"/>
      <c r="C28" s="12"/>
      <c r="D28" s="12"/>
    </row>
    <row r="30" spans="1:4" x14ac:dyDescent="0.35">
      <c r="A30" s="13" t="s">
        <v>53</v>
      </c>
    </row>
    <row r="31" spans="1:4" ht="31" x14ac:dyDescent="0.4">
      <c r="A31" s="254" t="s">
        <v>54</v>
      </c>
      <c r="B31" s="254"/>
      <c r="C31" s="254"/>
      <c r="D31" s="254"/>
    </row>
    <row r="33" spans="1:4" x14ac:dyDescent="0.35">
      <c r="A33" s="13" t="s">
        <v>55</v>
      </c>
    </row>
    <row r="34" spans="1:4" ht="31" x14ac:dyDescent="0.4">
      <c r="A34" s="27" t="s">
        <v>56</v>
      </c>
      <c r="B34" s="26" t="s">
        <v>57</v>
      </c>
    </row>
    <row r="35" spans="1:4" ht="31" x14ac:dyDescent="0.4">
      <c r="A35" s="27" t="s">
        <v>58</v>
      </c>
      <c r="B35" s="26" t="s">
        <v>59</v>
      </c>
    </row>
    <row r="36" spans="1:4" ht="31" x14ac:dyDescent="0.4">
      <c r="A36" s="27" t="s">
        <v>60</v>
      </c>
      <c r="B36" s="26" t="s">
        <v>61</v>
      </c>
    </row>
    <row r="37" spans="1:4" ht="31" x14ac:dyDescent="0.4">
      <c r="A37" s="27" t="s">
        <v>62</v>
      </c>
      <c r="B37" s="26" t="s">
        <v>63</v>
      </c>
    </row>
    <row r="38" spans="1:4" ht="31" x14ac:dyDescent="0.4">
      <c r="A38" s="27" t="s">
        <v>64</v>
      </c>
      <c r="B38" s="26" t="s">
        <v>65</v>
      </c>
    </row>
    <row r="40" spans="1:4" x14ac:dyDescent="0.35">
      <c r="A40" s="11" t="s">
        <v>66</v>
      </c>
      <c r="B40" s="12"/>
      <c r="C40" s="12"/>
      <c r="D40" s="12"/>
    </row>
    <row r="42" spans="1:4" x14ac:dyDescent="0.35">
      <c r="A42" s="28" t="s">
        <v>67</v>
      </c>
      <c r="B42" s="28" t="s">
        <v>68</v>
      </c>
      <c r="C42" s="28" t="s">
        <v>5</v>
      </c>
    </row>
    <row r="43" spans="1:4" ht="31" x14ac:dyDescent="0.4">
      <c r="A43" s="17" t="s">
        <v>69</v>
      </c>
      <c r="B43" s="29" t="s">
        <v>70</v>
      </c>
      <c r="C43" s="18" t="s">
        <v>71</v>
      </c>
    </row>
    <row r="44" spans="1:4" ht="31" x14ac:dyDescent="0.4">
      <c r="A44" s="21" t="s">
        <v>72</v>
      </c>
      <c r="B44" s="30" t="s">
        <v>73</v>
      </c>
      <c r="C44" s="22" t="s">
        <v>74</v>
      </c>
    </row>
    <row r="45" spans="1:4" ht="31" x14ac:dyDescent="0.4">
      <c r="A45" s="17" t="s">
        <v>75</v>
      </c>
      <c r="B45" s="29" t="s">
        <v>76</v>
      </c>
      <c r="C45" s="18" t="s">
        <v>77</v>
      </c>
    </row>
    <row r="46" spans="1:4" ht="31" x14ac:dyDescent="0.4">
      <c r="A46" s="21" t="s">
        <v>78</v>
      </c>
      <c r="B46" s="30" t="s">
        <v>79</v>
      </c>
      <c r="C46" s="22" t="s">
        <v>80</v>
      </c>
    </row>
    <row r="47" spans="1:4" ht="31" x14ac:dyDescent="0.4">
      <c r="A47" s="17" t="s">
        <v>81</v>
      </c>
      <c r="B47" s="29" t="s">
        <v>82</v>
      </c>
      <c r="C47" s="18" t="s">
        <v>83</v>
      </c>
    </row>
    <row r="49" spans="1:4" x14ac:dyDescent="0.35">
      <c r="A49" s="11" t="s">
        <v>84</v>
      </c>
      <c r="B49" s="12"/>
      <c r="C49" s="12"/>
      <c r="D49" s="12"/>
    </row>
    <row r="51" spans="1:4" x14ac:dyDescent="0.35">
      <c r="A51" s="31" t="s">
        <v>85</v>
      </c>
      <c r="B51" s="28" t="s">
        <v>86</v>
      </c>
      <c r="C51" s="28" t="s">
        <v>87</v>
      </c>
    </row>
    <row r="52" spans="1:4" x14ac:dyDescent="0.35">
      <c r="A52" s="32">
        <v>1</v>
      </c>
      <c r="B52" s="17" t="s">
        <v>88</v>
      </c>
      <c r="C52" s="18" t="s">
        <v>89</v>
      </c>
    </row>
    <row r="53" spans="1:4" x14ac:dyDescent="0.35">
      <c r="A53" s="33">
        <v>2</v>
      </c>
      <c r="B53" s="21" t="s">
        <v>90</v>
      </c>
      <c r="C53" s="22" t="s">
        <v>91</v>
      </c>
    </row>
    <row r="54" spans="1:4" x14ac:dyDescent="0.35">
      <c r="A54" s="32">
        <v>3</v>
      </c>
      <c r="B54" s="17" t="s">
        <v>92</v>
      </c>
      <c r="C54" s="18" t="s">
        <v>93</v>
      </c>
    </row>
    <row r="55" spans="1:4" x14ac:dyDescent="0.35">
      <c r="A55" s="33">
        <v>4</v>
      </c>
      <c r="B55" s="21" t="s">
        <v>94</v>
      </c>
      <c r="C55" s="22" t="s">
        <v>95</v>
      </c>
    </row>
    <row r="56" spans="1:4" x14ac:dyDescent="0.35">
      <c r="A56" s="32">
        <v>5</v>
      </c>
      <c r="B56" s="17" t="s">
        <v>96</v>
      </c>
      <c r="C56" s="18" t="s">
        <v>97</v>
      </c>
    </row>
    <row r="57" spans="1:4" x14ac:dyDescent="0.35">
      <c r="A57" s="33">
        <v>6</v>
      </c>
      <c r="B57" s="21" t="s">
        <v>98</v>
      </c>
      <c r="C57" s="22" t="s">
        <v>99</v>
      </c>
    </row>
    <row r="58" spans="1:4" x14ac:dyDescent="0.35">
      <c r="A58" s="32">
        <v>7</v>
      </c>
      <c r="B58" s="17" t="s">
        <v>100</v>
      </c>
      <c r="C58" s="18" t="s">
        <v>101</v>
      </c>
    </row>
    <row r="60" spans="1:4" x14ac:dyDescent="0.35">
      <c r="A60" s="34" t="s">
        <v>102</v>
      </c>
    </row>
  </sheetData>
  <mergeCells count="2">
    <mergeCell ref="A1:D1"/>
    <mergeCell ref="A31:D31"/>
  </mergeCells>
  <hyperlinks>
    <hyperlink ref="A60" location="'TOC'!A1" display="← Back to Table of Contents" xr:uid="{DC0380E1-9EA9-8C47-BC3D-8637A1319CD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07AA-E16E-C946-9333-52B422D93D65}">
  <sheetPr>
    <tabColor rgb="FF548235"/>
  </sheetPr>
  <dimension ref="A1:I40"/>
  <sheetViews>
    <sheetView topLeftCell="A24" workbookViewId="0">
      <selection activeCell="A32" sqref="A32"/>
    </sheetView>
  </sheetViews>
  <sheetFormatPr baseColWidth="10" defaultColWidth="19.5" defaultRowHeight="29" x14ac:dyDescent="0.35"/>
  <cols>
    <col min="1" max="1" width="13.33203125" style="1" customWidth="1"/>
    <col min="2" max="5" width="16.6640625" style="1" customWidth="1"/>
    <col min="6" max="6" width="19.5" style="1"/>
    <col min="7" max="7" width="33.33203125" style="1" customWidth="1"/>
    <col min="8" max="8" width="22" style="1" customWidth="1"/>
    <col min="9" max="9" width="25.5" style="1" customWidth="1"/>
    <col min="10" max="16384" width="19.5" style="1"/>
  </cols>
  <sheetData>
    <row r="1" spans="1:9" x14ac:dyDescent="0.35">
      <c r="A1" s="255" t="s">
        <v>103</v>
      </c>
      <c r="B1" s="255"/>
      <c r="C1" s="255"/>
      <c r="D1" s="255"/>
      <c r="E1" s="255"/>
    </row>
    <row r="2" spans="1:9" x14ac:dyDescent="0.35">
      <c r="A2" s="256" t="s">
        <v>104</v>
      </c>
      <c r="B2" s="256"/>
      <c r="C2" s="256"/>
      <c r="D2" s="256"/>
      <c r="E2" s="256"/>
    </row>
    <row r="4" spans="1:9" x14ac:dyDescent="0.35">
      <c r="A4" s="35" t="s">
        <v>105</v>
      </c>
      <c r="B4" s="36"/>
      <c r="C4" s="36"/>
      <c r="D4" s="36"/>
      <c r="E4" s="36"/>
      <c r="G4" s="35" t="s">
        <v>111</v>
      </c>
      <c r="H4" s="36"/>
      <c r="I4" s="36"/>
    </row>
    <row r="5" spans="1:9" ht="90" x14ac:dyDescent="0.35">
      <c r="A5" s="172" t="s">
        <v>106</v>
      </c>
      <c r="B5" s="172" t="s">
        <v>107</v>
      </c>
      <c r="C5" s="172" t="s">
        <v>108</v>
      </c>
      <c r="D5" s="172" t="s">
        <v>109</v>
      </c>
      <c r="E5" s="172" t="s">
        <v>110</v>
      </c>
      <c r="G5" s="37" t="s">
        <v>24</v>
      </c>
      <c r="H5" s="37" t="s">
        <v>112</v>
      </c>
      <c r="I5" s="37" t="s">
        <v>113</v>
      </c>
    </row>
    <row r="6" spans="1:9" ht="31" x14ac:dyDescent="0.4">
      <c r="A6" s="173">
        <v>46045</v>
      </c>
      <c r="B6" s="131">
        <v>120</v>
      </c>
      <c r="C6" s="131"/>
      <c r="D6" s="131"/>
      <c r="E6" s="131"/>
      <c r="G6" s="1" t="s">
        <v>114</v>
      </c>
      <c r="H6" s="27" t="s">
        <v>115</v>
      </c>
      <c r="I6" s="39">
        <v>1.2</v>
      </c>
    </row>
    <row r="7" spans="1:9" ht="31" x14ac:dyDescent="0.4">
      <c r="A7" s="173">
        <v>46076</v>
      </c>
      <c r="B7" s="131">
        <v>125</v>
      </c>
      <c r="C7" s="131">
        <f>B7-B6</f>
        <v>5</v>
      </c>
      <c r="D7" s="131">
        <f>B6</f>
        <v>120</v>
      </c>
      <c r="E7" s="131">
        <f>B7-D7</f>
        <v>5</v>
      </c>
      <c r="G7" s="1" t="s">
        <v>116</v>
      </c>
      <c r="H7" s="27" t="s">
        <v>117</v>
      </c>
      <c r="I7" s="40">
        <v>0.35</v>
      </c>
    </row>
    <row r="8" spans="1:9" ht="31" x14ac:dyDescent="0.4">
      <c r="A8" s="173">
        <v>46104</v>
      </c>
      <c r="B8" s="131">
        <v>130</v>
      </c>
      <c r="C8" s="131">
        <f t="shared" ref="C8:C29" si="0">B8-B7</f>
        <v>5</v>
      </c>
      <c r="D8" s="131">
        <f>B7+($I$6+$I$7*C7+$I$8*E7)</f>
        <v>126.95</v>
      </c>
      <c r="E8" s="131">
        <f>B8-D8</f>
        <v>3.0499999999999972</v>
      </c>
      <c r="G8" s="1" t="s">
        <v>118</v>
      </c>
      <c r="H8" s="27" t="s">
        <v>119</v>
      </c>
      <c r="I8" s="40">
        <v>-0.2</v>
      </c>
    </row>
    <row r="9" spans="1:9" x14ac:dyDescent="0.35">
      <c r="A9" s="173">
        <v>46135</v>
      </c>
      <c r="B9" s="131">
        <v>128</v>
      </c>
      <c r="C9" s="131">
        <f t="shared" si="0"/>
        <v>-2</v>
      </c>
      <c r="D9" s="131">
        <f>B8+($I$6+$I$7*C8+$I$8*E8)</f>
        <v>132.34</v>
      </c>
      <c r="E9" s="131">
        <f t="shared" ref="E9:E28" si="1">B9-D9</f>
        <v>-4.3400000000000034</v>
      </c>
    </row>
    <row r="10" spans="1:9" x14ac:dyDescent="0.35">
      <c r="A10" s="173">
        <v>46165</v>
      </c>
      <c r="B10" s="131">
        <v>135</v>
      </c>
      <c r="C10" s="131">
        <f t="shared" si="0"/>
        <v>7</v>
      </c>
      <c r="D10" s="131">
        <f t="shared" ref="D10:D28" si="2">B9+($I$6+$I$7*C9+$I$8*E9)</f>
        <v>129.36799999999999</v>
      </c>
      <c r="E10" s="131">
        <f t="shared" si="1"/>
        <v>5.632000000000005</v>
      </c>
      <c r="G10" s="41" t="s">
        <v>120</v>
      </c>
    </row>
    <row r="11" spans="1:9" ht="31" x14ac:dyDescent="0.4">
      <c r="A11" s="173">
        <v>46196</v>
      </c>
      <c r="B11" s="131">
        <v>140</v>
      </c>
      <c r="C11" s="131">
        <f t="shared" si="0"/>
        <v>5</v>
      </c>
      <c r="D11" s="131">
        <f t="shared" si="2"/>
        <v>137.52359999999999</v>
      </c>
      <c r="E11" s="131">
        <f t="shared" si="1"/>
        <v>2.4764000000000124</v>
      </c>
      <c r="G11" s="27" t="s">
        <v>121</v>
      </c>
    </row>
    <row r="12" spans="1:9" x14ac:dyDescent="0.35">
      <c r="A12" s="173">
        <v>46226</v>
      </c>
      <c r="B12" s="131">
        <v>138</v>
      </c>
      <c r="C12" s="131">
        <f t="shared" si="0"/>
        <v>-2</v>
      </c>
      <c r="D12" s="131">
        <f t="shared" si="2"/>
        <v>142.45472000000001</v>
      </c>
      <c r="E12" s="131">
        <f t="shared" si="1"/>
        <v>-4.4547200000000089</v>
      </c>
      <c r="G12" s="25" t="s">
        <v>122</v>
      </c>
    </row>
    <row r="13" spans="1:9" x14ac:dyDescent="0.35">
      <c r="A13" s="173">
        <v>46257</v>
      </c>
      <c r="B13" s="131">
        <v>145</v>
      </c>
      <c r="C13" s="131">
        <f t="shared" si="0"/>
        <v>7</v>
      </c>
      <c r="D13" s="131">
        <f t="shared" si="2"/>
        <v>139.39094399999999</v>
      </c>
      <c r="E13" s="131">
        <f t="shared" si="1"/>
        <v>5.6090560000000096</v>
      </c>
    </row>
    <row r="14" spans="1:9" ht="48" customHeight="1" x14ac:dyDescent="0.35">
      <c r="A14" s="173">
        <v>46288</v>
      </c>
      <c r="B14" s="131">
        <v>150</v>
      </c>
      <c r="C14" s="131">
        <f t="shared" si="0"/>
        <v>5</v>
      </c>
      <c r="D14" s="131">
        <f t="shared" si="2"/>
        <v>147.52818880000001</v>
      </c>
      <c r="E14" s="131">
        <f t="shared" si="1"/>
        <v>2.4718111999999905</v>
      </c>
      <c r="G14" s="257" t="s">
        <v>502</v>
      </c>
      <c r="H14" s="258"/>
      <c r="I14" s="258"/>
    </row>
    <row r="15" spans="1:9" x14ac:dyDescent="0.35">
      <c r="A15" s="173">
        <v>46318</v>
      </c>
      <c r="B15" s="131">
        <v>148</v>
      </c>
      <c r="C15" s="131">
        <f t="shared" si="0"/>
        <v>-2</v>
      </c>
      <c r="D15" s="131">
        <f t="shared" si="2"/>
        <v>152.45563776</v>
      </c>
      <c r="E15" s="131">
        <f t="shared" si="1"/>
        <v>-4.4556377600000019</v>
      </c>
    </row>
    <row r="16" spans="1:9" x14ac:dyDescent="0.35">
      <c r="A16" s="173">
        <v>46349</v>
      </c>
      <c r="B16" s="131">
        <v>155</v>
      </c>
      <c r="C16" s="131">
        <f t="shared" si="0"/>
        <v>7</v>
      </c>
      <c r="D16" s="131">
        <f t="shared" si="2"/>
        <v>149.391127552</v>
      </c>
      <c r="E16" s="131">
        <f t="shared" si="1"/>
        <v>5.6088724479999996</v>
      </c>
    </row>
    <row r="17" spans="1:5" x14ac:dyDescent="0.35">
      <c r="A17" s="173">
        <v>46379</v>
      </c>
      <c r="B17" s="131">
        <v>162</v>
      </c>
      <c r="C17" s="131">
        <f t="shared" si="0"/>
        <v>7</v>
      </c>
      <c r="D17" s="131">
        <f t="shared" si="2"/>
        <v>157.52822551040001</v>
      </c>
      <c r="E17" s="131">
        <f t="shared" si="1"/>
        <v>4.4717744895999942</v>
      </c>
    </row>
    <row r="18" spans="1:5" x14ac:dyDescent="0.35">
      <c r="A18" s="173">
        <v>46046</v>
      </c>
      <c r="B18" s="131">
        <v>158</v>
      </c>
      <c r="C18" s="131">
        <f t="shared" si="0"/>
        <v>-4</v>
      </c>
      <c r="D18" s="131">
        <f t="shared" si="2"/>
        <v>164.75564510208</v>
      </c>
      <c r="E18" s="131">
        <f t="shared" si="1"/>
        <v>-6.7556451020799955</v>
      </c>
    </row>
    <row r="19" spans="1:5" x14ac:dyDescent="0.35">
      <c r="A19" s="173">
        <v>46077</v>
      </c>
      <c r="B19" s="131">
        <v>165</v>
      </c>
      <c r="C19" s="131">
        <f t="shared" si="0"/>
        <v>7</v>
      </c>
      <c r="D19" s="131">
        <f t="shared" si="2"/>
        <v>159.15112902041599</v>
      </c>
      <c r="E19" s="131">
        <f t="shared" si="1"/>
        <v>5.8488709795840066</v>
      </c>
    </row>
    <row r="20" spans="1:5" x14ac:dyDescent="0.35">
      <c r="A20" s="173">
        <v>46105</v>
      </c>
      <c r="B20" s="131">
        <v>170</v>
      </c>
      <c r="C20" s="131">
        <f t="shared" si="0"/>
        <v>5</v>
      </c>
      <c r="D20" s="131">
        <f t="shared" si="2"/>
        <v>167.4802258040832</v>
      </c>
      <c r="E20" s="131">
        <f t="shared" si="1"/>
        <v>2.5197741959167956</v>
      </c>
    </row>
    <row r="21" spans="1:5" x14ac:dyDescent="0.35">
      <c r="A21" s="173">
        <v>46136</v>
      </c>
      <c r="B21" s="131">
        <v>168</v>
      </c>
      <c r="C21" s="131">
        <f t="shared" si="0"/>
        <v>-2</v>
      </c>
      <c r="D21" s="131">
        <f t="shared" si="2"/>
        <v>172.44604516081665</v>
      </c>
      <c r="E21" s="131">
        <f t="shared" si="1"/>
        <v>-4.4460451608166522</v>
      </c>
    </row>
    <row r="22" spans="1:5" x14ac:dyDescent="0.35">
      <c r="A22" s="173">
        <v>46166</v>
      </c>
      <c r="B22" s="131">
        <v>175</v>
      </c>
      <c r="C22" s="131">
        <f t="shared" si="0"/>
        <v>7</v>
      </c>
      <c r="D22" s="131">
        <f t="shared" si="2"/>
        <v>169.38920903216334</v>
      </c>
      <c r="E22" s="131">
        <f t="shared" si="1"/>
        <v>5.6107909678366639</v>
      </c>
    </row>
    <row r="23" spans="1:5" x14ac:dyDescent="0.35">
      <c r="A23" s="173">
        <v>46197</v>
      </c>
      <c r="B23" s="131">
        <v>180</v>
      </c>
      <c r="C23" s="131">
        <f t="shared" si="0"/>
        <v>5</v>
      </c>
      <c r="D23" s="131">
        <f t="shared" si="2"/>
        <v>177.52784180643266</v>
      </c>
      <c r="E23" s="131">
        <f t="shared" si="1"/>
        <v>2.4721581935673385</v>
      </c>
    </row>
    <row r="24" spans="1:5" x14ac:dyDescent="0.35">
      <c r="A24" s="173">
        <v>46227</v>
      </c>
      <c r="B24" s="131">
        <v>178</v>
      </c>
      <c r="C24" s="131">
        <f t="shared" si="0"/>
        <v>-2</v>
      </c>
      <c r="D24" s="131">
        <f t="shared" si="2"/>
        <v>182.45556836128654</v>
      </c>
      <c r="E24" s="131">
        <f t="shared" si="1"/>
        <v>-4.455568361286538</v>
      </c>
    </row>
    <row r="25" spans="1:5" x14ac:dyDescent="0.35">
      <c r="A25" s="173">
        <v>46258</v>
      </c>
      <c r="B25" s="131">
        <v>185</v>
      </c>
      <c r="C25" s="131">
        <f t="shared" si="0"/>
        <v>7</v>
      </c>
      <c r="D25" s="131">
        <f t="shared" si="2"/>
        <v>179.39111367225732</v>
      </c>
      <c r="E25" s="131">
        <f t="shared" si="1"/>
        <v>5.608886327742681</v>
      </c>
    </row>
    <row r="26" spans="1:5" x14ac:dyDescent="0.35">
      <c r="A26" s="173">
        <v>46289</v>
      </c>
      <c r="B26" s="131">
        <v>190</v>
      </c>
      <c r="C26" s="131">
        <f t="shared" si="0"/>
        <v>5</v>
      </c>
      <c r="D26" s="131">
        <f t="shared" si="2"/>
        <v>187.52822273445148</v>
      </c>
      <c r="E26" s="131">
        <f t="shared" si="1"/>
        <v>2.4717772655485248</v>
      </c>
    </row>
    <row r="27" spans="1:5" x14ac:dyDescent="0.35">
      <c r="A27" s="173">
        <v>46319</v>
      </c>
      <c r="B27" s="131">
        <v>188</v>
      </c>
      <c r="C27" s="131">
        <f t="shared" si="0"/>
        <v>-2</v>
      </c>
      <c r="D27" s="131">
        <f t="shared" si="2"/>
        <v>192.45564454689028</v>
      </c>
      <c r="E27" s="131">
        <f t="shared" si="1"/>
        <v>-4.4556445468902837</v>
      </c>
    </row>
    <row r="28" spans="1:5" x14ac:dyDescent="0.35">
      <c r="A28" s="173">
        <v>46350</v>
      </c>
      <c r="B28" s="131">
        <v>195</v>
      </c>
      <c r="C28" s="131">
        <f t="shared" si="0"/>
        <v>7</v>
      </c>
      <c r="D28" s="131">
        <f t="shared" si="2"/>
        <v>189.39112890937807</v>
      </c>
      <c r="E28" s="131">
        <f t="shared" si="1"/>
        <v>5.6088710906219319</v>
      </c>
    </row>
    <row r="29" spans="1:5" x14ac:dyDescent="0.35">
      <c r="A29" s="173">
        <v>46380</v>
      </c>
      <c r="B29" s="131">
        <v>202</v>
      </c>
      <c r="C29" s="131">
        <f t="shared" si="0"/>
        <v>7</v>
      </c>
      <c r="D29" s="131">
        <f>B28+($I$6+$I$7*C28+$I$8*E28)</f>
        <v>197.52822578187562</v>
      </c>
      <c r="E29" s="131">
        <f>B29-D29</f>
        <v>4.4717742181243807</v>
      </c>
    </row>
    <row r="31" spans="1:5" x14ac:dyDescent="0.35">
      <c r="A31" s="35" t="s">
        <v>123</v>
      </c>
      <c r="B31" s="36"/>
      <c r="C31" s="36"/>
      <c r="D31" s="36"/>
      <c r="E31" s="36"/>
    </row>
    <row r="32" spans="1:5" x14ac:dyDescent="0.35">
      <c r="A32" s="37" t="s">
        <v>106</v>
      </c>
      <c r="B32" s="37" t="s">
        <v>124</v>
      </c>
      <c r="C32" s="37" t="s">
        <v>125</v>
      </c>
    </row>
    <row r="33" spans="1:3" x14ac:dyDescent="0.35">
      <c r="A33" s="38">
        <v>46047</v>
      </c>
      <c r="B33" s="42">
        <f>B29+($I$6+$I$7*C29+$I$8*E29)</f>
        <v>204.75564515637512</v>
      </c>
      <c r="C33" s="44" t="s">
        <v>126</v>
      </c>
    </row>
    <row r="34" spans="1:3" x14ac:dyDescent="0.35">
      <c r="A34" s="38">
        <v>46078</v>
      </c>
      <c r="B34" s="42">
        <f>B33+($I$6+$I$7*(B33-B29)+$I$8*0)</f>
        <v>206.92012096110642</v>
      </c>
      <c r="C34" s="44" t="s">
        <v>127</v>
      </c>
    </row>
    <row r="35" spans="1:3" x14ac:dyDescent="0.35">
      <c r="A35" s="38">
        <v>46106</v>
      </c>
      <c r="B35" s="42">
        <f>B34+($I$6+$I$7*(B34-B33)+$I$8*0)</f>
        <v>208.87768749276236</v>
      </c>
    </row>
    <row r="36" spans="1:3" x14ac:dyDescent="0.35">
      <c r="A36" s="38">
        <v>46137</v>
      </c>
      <c r="B36" s="42">
        <f>B35+($I$6+$I$7*(B35-B34)+$I$8*0)</f>
        <v>210.76283577884195</v>
      </c>
    </row>
    <row r="37" spans="1:3" x14ac:dyDescent="0.35">
      <c r="A37" s="38">
        <v>46167</v>
      </c>
      <c r="B37" s="42">
        <f>B36+($I$6+$I$7*(B36-B35)+$I$8*0)</f>
        <v>212.6226376789698</v>
      </c>
    </row>
    <row r="38" spans="1:3" x14ac:dyDescent="0.35">
      <c r="A38" s="38">
        <v>46198</v>
      </c>
      <c r="B38" s="42">
        <f>B37+($I$6+$I$7*(B37-B36)+$I$8*0)</f>
        <v>214.47356834401455</v>
      </c>
    </row>
    <row r="40" spans="1:3" x14ac:dyDescent="0.35">
      <c r="A40" s="45" t="s">
        <v>102</v>
      </c>
    </row>
  </sheetData>
  <mergeCells count="3">
    <mergeCell ref="A1:E1"/>
    <mergeCell ref="A2:E2"/>
    <mergeCell ref="G14:I14"/>
  </mergeCells>
  <hyperlinks>
    <hyperlink ref="A40" location="'TOC'!A1" display="← Back to Table of Contents" xr:uid="{D3C6FD48-6A2B-4941-907A-8711B06D2320}"/>
  </hyperlink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813B-9C61-C840-954C-21B979CF489C}">
  <sheetPr>
    <tabColor rgb="FFBF8F00"/>
  </sheetPr>
  <dimension ref="A1:I28"/>
  <sheetViews>
    <sheetView workbookViewId="0">
      <selection activeCell="F7" sqref="F7"/>
    </sheetView>
  </sheetViews>
  <sheetFormatPr baseColWidth="10" defaultRowHeight="29" x14ac:dyDescent="0.35"/>
  <cols>
    <col min="1" max="1" width="8.33203125" style="1" customWidth="1"/>
    <col min="2" max="2" width="13.33203125" style="1" customWidth="1"/>
    <col min="3" max="3" width="15" style="1" customWidth="1"/>
    <col min="4" max="4" width="21.6640625" style="1" customWidth="1"/>
    <col min="5" max="5" width="16.6640625" style="1" customWidth="1"/>
    <col min="6" max="6" width="10.83203125" style="1"/>
    <col min="7" max="7" width="33.33203125" style="1" customWidth="1"/>
    <col min="8" max="8" width="13.33203125" style="1" customWidth="1"/>
    <col min="9" max="9" width="10" style="1" customWidth="1"/>
    <col min="10" max="16384" width="10.83203125" style="1"/>
  </cols>
  <sheetData>
    <row r="1" spans="1:9" x14ac:dyDescent="0.35">
      <c r="A1" s="259" t="s">
        <v>128</v>
      </c>
      <c r="B1" s="259"/>
      <c r="C1" s="259"/>
      <c r="D1" s="259"/>
      <c r="E1" s="259"/>
    </row>
    <row r="2" spans="1:9" x14ac:dyDescent="0.35">
      <c r="A2" s="260" t="s">
        <v>129</v>
      </c>
      <c r="B2" s="260"/>
      <c r="C2" s="260"/>
      <c r="D2" s="260"/>
      <c r="E2" s="260"/>
    </row>
    <row r="4" spans="1:9" x14ac:dyDescent="0.35">
      <c r="A4" s="46" t="s">
        <v>130</v>
      </c>
      <c r="B4" s="47"/>
      <c r="C4" s="47"/>
      <c r="D4" s="47"/>
      <c r="E4" s="47"/>
      <c r="G4" s="46" t="s">
        <v>136</v>
      </c>
      <c r="H4" s="47"/>
      <c r="I4" s="47"/>
    </row>
    <row r="5" spans="1:9" x14ac:dyDescent="0.35">
      <c r="A5" s="48" t="s">
        <v>131</v>
      </c>
      <c r="B5" s="48" t="s">
        <v>132</v>
      </c>
      <c r="C5" s="48" t="s">
        <v>133</v>
      </c>
      <c r="D5" s="48" t="s">
        <v>134</v>
      </c>
      <c r="E5" s="48" t="s">
        <v>135</v>
      </c>
    </row>
    <row r="6" spans="1:9" x14ac:dyDescent="0.35">
      <c r="A6" s="1">
        <v>1</v>
      </c>
      <c r="B6" s="49">
        <v>100</v>
      </c>
      <c r="G6" s="13" t="s">
        <v>137</v>
      </c>
    </row>
    <row r="7" spans="1:9" x14ac:dyDescent="0.35">
      <c r="A7" s="1">
        <v>2</v>
      </c>
      <c r="B7" s="49">
        <v>101.5</v>
      </c>
      <c r="C7" s="49">
        <f>B7-B6</f>
        <v>1.5</v>
      </c>
      <c r="D7" s="49">
        <f>B6</f>
        <v>100</v>
      </c>
      <c r="E7" s="49">
        <f>B7-D7</f>
        <v>1.5</v>
      </c>
      <c r="F7" s="1" cm="1">
        <f t="array" ref="F7:F25">ABS(E7:E25)</f>
        <v>1.5</v>
      </c>
      <c r="G7" s="1" t="s">
        <v>138</v>
      </c>
    </row>
    <row r="8" spans="1:9" x14ac:dyDescent="0.35">
      <c r="A8" s="1">
        <v>3</v>
      </c>
      <c r="B8" s="49">
        <v>99.8</v>
      </c>
      <c r="C8" s="49">
        <f t="shared" ref="C8:C25" si="0">B8-B7</f>
        <v>-1.7000000000000028</v>
      </c>
      <c r="D8" s="49">
        <f>B7</f>
        <v>101.5</v>
      </c>
      <c r="E8" s="49">
        <f>B8-D8</f>
        <v>-1.7000000000000028</v>
      </c>
      <c r="F8" s="1">
        <v>1.7000000000000028</v>
      </c>
      <c r="G8" s="50" t="s">
        <v>139</v>
      </c>
    </row>
    <row r="9" spans="1:9" x14ac:dyDescent="0.35">
      <c r="A9" s="1">
        <v>4</v>
      </c>
      <c r="B9" s="49">
        <v>102.3</v>
      </c>
      <c r="C9" s="49">
        <f t="shared" si="0"/>
        <v>2.5</v>
      </c>
      <c r="D9" s="49">
        <f>B8</f>
        <v>99.8</v>
      </c>
      <c r="E9" s="49">
        <f t="shared" ref="E9:E25" si="1">B9-D9</f>
        <v>2.5</v>
      </c>
      <c r="F9" s="1">
        <v>2.5</v>
      </c>
    </row>
    <row r="10" spans="1:9" x14ac:dyDescent="0.35">
      <c r="A10" s="1">
        <v>5</v>
      </c>
      <c r="B10" s="49">
        <v>101.1</v>
      </c>
      <c r="C10" s="49">
        <f t="shared" si="0"/>
        <v>-1.2000000000000028</v>
      </c>
      <c r="D10" s="49">
        <f t="shared" ref="D10:D25" si="2">B9</f>
        <v>102.3</v>
      </c>
      <c r="E10" s="49">
        <f t="shared" si="1"/>
        <v>-1.2000000000000028</v>
      </c>
      <c r="F10" s="1">
        <v>1.2000000000000028</v>
      </c>
      <c r="G10" s="51" t="s">
        <v>140</v>
      </c>
    </row>
    <row r="11" spans="1:9" x14ac:dyDescent="0.35">
      <c r="A11" s="1">
        <v>6</v>
      </c>
      <c r="B11" s="49">
        <v>103.7</v>
      </c>
      <c r="C11" s="49">
        <f t="shared" si="0"/>
        <v>2.6000000000000085</v>
      </c>
      <c r="D11" s="49">
        <f t="shared" si="2"/>
        <v>101.1</v>
      </c>
      <c r="E11" s="49">
        <f t="shared" si="1"/>
        <v>2.6000000000000085</v>
      </c>
      <c r="F11" s="1">
        <v>2.6000000000000085</v>
      </c>
      <c r="G11" s="1" t="s">
        <v>141</v>
      </c>
    </row>
    <row r="12" spans="1:9" x14ac:dyDescent="0.35">
      <c r="A12" s="1">
        <v>7</v>
      </c>
      <c r="B12" s="49">
        <v>102.5</v>
      </c>
      <c r="C12" s="49">
        <f t="shared" si="0"/>
        <v>-1.2000000000000028</v>
      </c>
      <c r="D12" s="49">
        <f t="shared" si="2"/>
        <v>103.7</v>
      </c>
      <c r="E12" s="49">
        <f t="shared" si="1"/>
        <v>-1.2000000000000028</v>
      </c>
      <c r="F12" s="1">
        <v>1.2000000000000028</v>
      </c>
      <c r="G12" s="1" t="s">
        <v>142</v>
      </c>
    </row>
    <row r="13" spans="1:9" x14ac:dyDescent="0.35">
      <c r="A13" s="1">
        <v>8</v>
      </c>
      <c r="B13" s="49">
        <v>105.2</v>
      </c>
      <c r="C13" s="49">
        <f t="shared" si="0"/>
        <v>2.7000000000000028</v>
      </c>
      <c r="D13" s="49">
        <f t="shared" si="2"/>
        <v>102.5</v>
      </c>
      <c r="E13" s="49">
        <f t="shared" si="1"/>
        <v>2.7000000000000028</v>
      </c>
      <c r="F13" s="1">
        <v>2.7000000000000028</v>
      </c>
      <c r="G13" s="1" t="s">
        <v>143</v>
      </c>
    </row>
    <row r="14" spans="1:9" x14ac:dyDescent="0.35">
      <c r="A14" s="1">
        <v>9</v>
      </c>
      <c r="B14" s="49">
        <v>104</v>
      </c>
      <c r="C14" s="49">
        <f t="shared" si="0"/>
        <v>-1.2000000000000028</v>
      </c>
      <c r="D14" s="49">
        <f t="shared" si="2"/>
        <v>105.2</v>
      </c>
      <c r="E14" s="49">
        <f t="shared" si="1"/>
        <v>-1.2000000000000028</v>
      </c>
      <c r="F14" s="1">
        <v>1.2000000000000028</v>
      </c>
      <c r="G14" s="1" t="s">
        <v>144</v>
      </c>
    </row>
    <row r="15" spans="1:9" x14ac:dyDescent="0.35">
      <c r="A15" s="1">
        <v>10</v>
      </c>
      <c r="B15" s="49">
        <v>106.8</v>
      </c>
      <c r="C15" s="49">
        <f t="shared" si="0"/>
        <v>2.7999999999999972</v>
      </c>
      <c r="D15" s="49">
        <f t="shared" si="2"/>
        <v>104</v>
      </c>
      <c r="E15" s="49">
        <f t="shared" si="1"/>
        <v>2.7999999999999972</v>
      </c>
      <c r="F15" s="1">
        <v>2.7999999999999972</v>
      </c>
    </row>
    <row r="16" spans="1:9" x14ac:dyDescent="0.35">
      <c r="A16" s="1">
        <v>11</v>
      </c>
      <c r="B16" s="49">
        <v>105.3</v>
      </c>
      <c r="C16" s="49">
        <f t="shared" si="0"/>
        <v>-1.5</v>
      </c>
      <c r="D16" s="49">
        <f t="shared" si="2"/>
        <v>106.8</v>
      </c>
      <c r="E16" s="49">
        <f t="shared" si="1"/>
        <v>-1.5</v>
      </c>
      <c r="F16" s="1">
        <v>1.5</v>
      </c>
      <c r="G16" s="51" t="s">
        <v>145</v>
      </c>
    </row>
    <row r="17" spans="1:9" x14ac:dyDescent="0.35">
      <c r="A17" s="1">
        <v>12</v>
      </c>
      <c r="B17" s="49">
        <v>108.1</v>
      </c>
      <c r="C17" s="49">
        <f t="shared" si="0"/>
        <v>2.7999999999999972</v>
      </c>
      <c r="D17" s="49">
        <f t="shared" si="2"/>
        <v>105.3</v>
      </c>
      <c r="E17" s="49">
        <f t="shared" si="1"/>
        <v>2.7999999999999972</v>
      </c>
      <c r="F17" s="1">
        <v>2.7999999999999972</v>
      </c>
      <c r="G17" s="1" t="s">
        <v>146</v>
      </c>
      <c r="H17" s="49">
        <f>AVERAGE(E7:E25)</f>
        <v>0.69999999999999984</v>
      </c>
    </row>
    <row r="18" spans="1:9" x14ac:dyDescent="0.35">
      <c r="A18" s="1">
        <v>13</v>
      </c>
      <c r="B18" s="49">
        <v>106.4</v>
      </c>
      <c r="C18" s="49">
        <f t="shared" si="0"/>
        <v>-1.6999999999999886</v>
      </c>
      <c r="D18" s="49">
        <f t="shared" si="2"/>
        <v>108.1</v>
      </c>
      <c r="E18" s="49">
        <f t="shared" si="1"/>
        <v>-1.6999999999999886</v>
      </c>
      <c r="F18" s="1">
        <v>1.6999999999999886</v>
      </c>
      <c r="G18" s="1" t="s">
        <v>147</v>
      </c>
      <c r="H18" s="49">
        <f>AVERAGE(ABS(E7),ABS(E8),ABS(E9),ABS(E10),ABS(E11),ABS(E12),ABS(E13),ABS(E14),ABS(E15),ABS(E16),ABS(E17),ABS(E18),ABS(E19),ABS(E20),ABS(E21),ABS(E22),ABS(E23),ABS(E24),ABS(E25))</f>
        <v>2.0684210526315772</v>
      </c>
      <c r="I18" s="1">
        <f>AVERAGE(_xlfn.ANCHORARRAY(F7))</f>
        <v>2.0684210526315772</v>
      </c>
    </row>
    <row r="19" spans="1:9" x14ac:dyDescent="0.35">
      <c r="A19" s="1">
        <v>14</v>
      </c>
      <c r="B19" s="49">
        <v>109.5</v>
      </c>
      <c r="C19" s="49">
        <f t="shared" si="0"/>
        <v>3.0999999999999943</v>
      </c>
      <c r="D19" s="49">
        <f t="shared" si="2"/>
        <v>106.4</v>
      </c>
      <c r="E19" s="49">
        <f t="shared" si="1"/>
        <v>3.0999999999999943</v>
      </c>
      <c r="F19" s="1">
        <v>3.0999999999999943</v>
      </c>
      <c r="G19" s="1" t="s">
        <v>148</v>
      </c>
      <c r="H19" s="49">
        <f>AVERAGE(C7:C25)</f>
        <v>0.69999999999999984</v>
      </c>
    </row>
    <row r="20" spans="1:9" x14ac:dyDescent="0.35">
      <c r="A20" s="1">
        <v>15</v>
      </c>
      <c r="B20" s="49">
        <v>107.9</v>
      </c>
      <c r="C20" s="49">
        <f t="shared" si="0"/>
        <v>-1.5999999999999943</v>
      </c>
      <c r="D20" s="49">
        <f t="shared" si="2"/>
        <v>109.5</v>
      </c>
      <c r="E20" s="49">
        <f t="shared" si="1"/>
        <v>-1.5999999999999943</v>
      </c>
      <c r="F20" s="1">
        <v>1.5999999999999943</v>
      </c>
    </row>
    <row r="21" spans="1:9" x14ac:dyDescent="0.35">
      <c r="A21" s="1">
        <v>16</v>
      </c>
      <c r="B21" s="49">
        <v>110.6</v>
      </c>
      <c r="C21" s="49">
        <f t="shared" si="0"/>
        <v>2.6999999999999886</v>
      </c>
      <c r="D21" s="49">
        <f t="shared" si="2"/>
        <v>107.9</v>
      </c>
      <c r="E21" s="49">
        <f t="shared" si="1"/>
        <v>2.6999999999999886</v>
      </c>
      <c r="F21" s="1">
        <v>2.6999999999999886</v>
      </c>
    </row>
    <row r="22" spans="1:9" x14ac:dyDescent="0.35">
      <c r="A22" s="1">
        <v>17</v>
      </c>
      <c r="B22" s="49">
        <v>109.2</v>
      </c>
      <c r="C22" s="49">
        <f t="shared" si="0"/>
        <v>-1.3999999999999915</v>
      </c>
      <c r="D22" s="49">
        <f t="shared" si="2"/>
        <v>110.6</v>
      </c>
      <c r="E22" s="49">
        <f t="shared" si="1"/>
        <v>-1.3999999999999915</v>
      </c>
      <c r="F22" s="1">
        <v>1.3999999999999915</v>
      </c>
    </row>
    <row r="23" spans="1:9" x14ac:dyDescent="0.35">
      <c r="A23" s="1">
        <v>18</v>
      </c>
      <c r="B23" s="49">
        <v>112</v>
      </c>
      <c r="C23" s="49">
        <f t="shared" si="0"/>
        <v>2.7999999999999972</v>
      </c>
      <c r="D23" s="49">
        <f t="shared" si="2"/>
        <v>109.2</v>
      </c>
      <c r="E23" s="49">
        <f t="shared" si="1"/>
        <v>2.7999999999999972</v>
      </c>
      <c r="F23" s="1">
        <v>2.7999999999999972</v>
      </c>
    </row>
    <row r="24" spans="1:9" x14ac:dyDescent="0.35">
      <c r="A24" s="1">
        <v>19</v>
      </c>
      <c r="B24" s="49">
        <v>110.5</v>
      </c>
      <c r="C24" s="49">
        <f t="shared" si="0"/>
        <v>-1.5</v>
      </c>
      <c r="D24" s="49">
        <f t="shared" si="2"/>
        <v>112</v>
      </c>
      <c r="E24" s="49">
        <f t="shared" si="1"/>
        <v>-1.5</v>
      </c>
      <c r="F24" s="1">
        <v>1.5</v>
      </c>
    </row>
    <row r="25" spans="1:9" x14ac:dyDescent="0.35">
      <c r="A25" s="1">
        <v>20</v>
      </c>
      <c r="B25" s="49">
        <v>113.3</v>
      </c>
      <c r="C25" s="49">
        <f t="shared" si="0"/>
        <v>2.7999999999999972</v>
      </c>
      <c r="D25" s="49">
        <f t="shared" si="2"/>
        <v>110.5</v>
      </c>
      <c r="E25" s="49">
        <f t="shared" si="1"/>
        <v>2.7999999999999972</v>
      </c>
      <c r="F25" s="1">
        <v>2.7999999999999972</v>
      </c>
    </row>
    <row r="28" spans="1:9" x14ac:dyDescent="0.35">
      <c r="A28" s="52" t="s">
        <v>102</v>
      </c>
    </row>
  </sheetData>
  <mergeCells count="2">
    <mergeCell ref="A1:E1"/>
    <mergeCell ref="A2:E2"/>
  </mergeCells>
  <hyperlinks>
    <hyperlink ref="A28" location="'TOC'!A1" display="← Back to Table of Contents" xr:uid="{A410C568-4823-9345-8C6A-E96110482B6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1475-7DD4-9043-B7CF-3C3D3DDD322D}">
  <sheetPr>
    <tabColor rgb="FFC00000"/>
  </sheetPr>
  <dimension ref="A1:J30"/>
  <sheetViews>
    <sheetView workbookViewId="0">
      <selection activeCell="F9" sqref="F9"/>
    </sheetView>
  </sheetViews>
  <sheetFormatPr baseColWidth="10" defaultRowHeight="29" x14ac:dyDescent="0.35"/>
  <cols>
    <col min="1" max="1" width="18.6640625" style="1" customWidth="1"/>
    <col min="2" max="2" width="10" style="1" customWidth="1"/>
    <col min="3" max="4" width="15" style="1" customWidth="1"/>
    <col min="5" max="5" width="16.6640625" style="1" customWidth="1"/>
    <col min="6" max="6" width="43.1640625" style="1" customWidth="1"/>
    <col min="7" max="7" width="10.83203125" style="1"/>
    <col min="8" max="8" width="33.33203125" style="1" customWidth="1"/>
    <col min="9" max="9" width="13.33203125" style="1" customWidth="1"/>
    <col min="10" max="10" width="16.6640625" style="1" customWidth="1"/>
    <col min="11" max="16384" width="10.83203125" style="1"/>
  </cols>
  <sheetData>
    <row r="1" spans="1:10" x14ac:dyDescent="0.35">
      <c r="A1" s="261" t="s">
        <v>149</v>
      </c>
      <c r="B1" s="261"/>
      <c r="C1" s="261"/>
      <c r="D1" s="261"/>
      <c r="E1" s="261"/>
      <c r="F1" s="261"/>
    </row>
    <row r="2" spans="1:10" x14ac:dyDescent="0.35">
      <c r="A2" s="262" t="s">
        <v>150</v>
      </c>
      <c r="B2" s="262"/>
      <c r="C2" s="262"/>
      <c r="D2" s="262"/>
      <c r="E2" s="262"/>
      <c r="F2" s="262"/>
    </row>
    <row r="4" spans="1:10" x14ac:dyDescent="0.35">
      <c r="A4" s="53" t="s">
        <v>151</v>
      </c>
      <c r="B4" s="54"/>
      <c r="C4" s="54"/>
      <c r="D4" s="54"/>
      <c r="E4" s="54"/>
      <c r="F4" s="54"/>
      <c r="H4" s="53" t="s">
        <v>162</v>
      </c>
      <c r="I4" s="54"/>
      <c r="J4" s="54"/>
    </row>
    <row r="5" spans="1:10" ht="60" x14ac:dyDescent="0.35">
      <c r="A5" s="94" t="s">
        <v>152</v>
      </c>
      <c r="B5" s="94" t="s">
        <v>153</v>
      </c>
      <c r="C5" s="94" t="s">
        <v>154</v>
      </c>
      <c r="D5" s="94" t="s">
        <v>155</v>
      </c>
      <c r="E5" s="95" t="s">
        <v>156</v>
      </c>
      <c r="F5" s="95" t="s">
        <v>157</v>
      </c>
      <c r="H5" s="55" t="s">
        <v>153</v>
      </c>
      <c r="I5" s="55" t="s">
        <v>163</v>
      </c>
      <c r="J5" s="55" t="s">
        <v>155</v>
      </c>
    </row>
    <row r="6" spans="1:10" x14ac:dyDescent="0.35">
      <c r="A6" s="1">
        <v>2021</v>
      </c>
      <c r="B6" s="1" t="s">
        <v>158</v>
      </c>
      <c r="C6" s="1">
        <v>45</v>
      </c>
      <c r="D6" s="56">
        <f>$J$6</f>
        <v>0.46783625730994149</v>
      </c>
      <c r="E6" s="42">
        <f>C6/D6</f>
        <v>96.1875</v>
      </c>
      <c r="H6" s="1" t="s">
        <v>164</v>
      </c>
      <c r="I6" s="42">
        <f>AVERAGE(C6,C10,C14,C18)</f>
        <v>55</v>
      </c>
      <c r="J6" s="56">
        <f>I6/AVERAGE($I$6:$I$9)</f>
        <v>0.46783625730994149</v>
      </c>
    </row>
    <row r="7" spans="1:10" x14ac:dyDescent="0.35">
      <c r="A7" s="1">
        <v>2021</v>
      </c>
      <c r="B7" s="1" t="s">
        <v>159</v>
      </c>
      <c r="C7" s="1">
        <v>120</v>
      </c>
      <c r="D7" s="56">
        <f>$J$7</f>
        <v>1.1972355130249868</v>
      </c>
      <c r="E7" s="42">
        <f>C7/D7</f>
        <v>100.23090586145648</v>
      </c>
      <c r="H7" s="1" t="s">
        <v>165</v>
      </c>
      <c r="I7" s="42">
        <f>AVERAGE(C7,C11,C15,C19)</f>
        <v>140.75</v>
      </c>
      <c r="J7" s="56">
        <f>I7/AVERAGE($I$6:$I$9)</f>
        <v>1.1972355130249868</v>
      </c>
    </row>
    <row r="8" spans="1:10" x14ac:dyDescent="0.35">
      <c r="A8" s="1">
        <v>2021</v>
      </c>
      <c r="B8" s="1" t="s">
        <v>160</v>
      </c>
      <c r="C8" s="1">
        <v>180</v>
      </c>
      <c r="D8" s="1">
        <f>$J$8</f>
        <v>1.771398192450824</v>
      </c>
      <c r="E8" s="42">
        <f t="shared" ref="E8:E21" si="0">C8/D8</f>
        <v>101.61464585834334</v>
      </c>
      <c r="F8" s="42">
        <f>AVERAGE(C6:C9)</f>
        <v>100</v>
      </c>
      <c r="H8" s="1" t="s">
        <v>166</v>
      </c>
      <c r="I8" s="42">
        <f>AVERAGE(C8,C12,C16,C20)</f>
        <v>208.25</v>
      </c>
      <c r="J8" s="56">
        <f>I8/AVERAGE($I$6:$I$9)</f>
        <v>1.771398192450824</v>
      </c>
    </row>
    <row r="9" spans="1:10" x14ac:dyDescent="0.35">
      <c r="A9" s="1">
        <v>2021</v>
      </c>
      <c r="B9" s="1" t="s">
        <v>161</v>
      </c>
      <c r="C9" s="1">
        <v>55</v>
      </c>
      <c r="D9" s="1">
        <f>$J$9</f>
        <v>0.56353003721424777</v>
      </c>
      <c r="E9" s="42">
        <f t="shared" si="0"/>
        <v>97.599056603773576</v>
      </c>
      <c r="F9" s="42">
        <f t="shared" ref="F9:F20" si="1">AVERAGE(C7:C10)</f>
        <v>101.75</v>
      </c>
      <c r="H9" s="1" t="s">
        <v>167</v>
      </c>
      <c r="I9" s="42">
        <f>AVERAGE(C9,C13,C17,C21)</f>
        <v>66.25</v>
      </c>
      <c r="J9" s="56">
        <f>I9/AVERAGE($I$6:$I$9)</f>
        <v>0.56353003721424777</v>
      </c>
    </row>
    <row r="10" spans="1:10" x14ac:dyDescent="0.35">
      <c r="A10" s="1">
        <v>2022</v>
      </c>
      <c r="B10" s="1" t="s">
        <v>158</v>
      </c>
      <c r="C10" s="1">
        <v>52</v>
      </c>
      <c r="D10" s="1">
        <f t="shared" ref="D10" si="2">$J$6</f>
        <v>0.46783625730994149</v>
      </c>
      <c r="E10" s="42">
        <f t="shared" si="0"/>
        <v>111.15</v>
      </c>
      <c r="F10" s="42">
        <f t="shared" si="1"/>
        <v>105.5</v>
      </c>
    </row>
    <row r="11" spans="1:10" x14ac:dyDescent="0.35">
      <c r="A11" s="1">
        <v>2022</v>
      </c>
      <c r="B11" s="1" t="s">
        <v>159</v>
      </c>
      <c r="C11" s="1">
        <v>135</v>
      </c>
      <c r="D11" s="1">
        <f t="shared" ref="D11" si="3">$J$7</f>
        <v>1.1972355130249868</v>
      </c>
      <c r="E11" s="42">
        <f t="shared" si="0"/>
        <v>112.75976909413853</v>
      </c>
      <c r="F11" s="42">
        <f t="shared" si="1"/>
        <v>110.5</v>
      </c>
      <c r="H11" s="53" t="s">
        <v>175</v>
      </c>
      <c r="I11" s="54"/>
      <c r="J11" s="54"/>
    </row>
    <row r="12" spans="1:10" x14ac:dyDescent="0.35">
      <c r="A12" s="1">
        <v>2022</v>
      </c>
      <c r="B12" s="1" t="s">
        <v>160</v>
      </c>
      <c r="C12" s="1">
        <v>200</v>
      </c>
      <c r="D12" s="1">
        <f t="shared" ref="D12" si="4">$J$8</f>
        <v>1.771398192450824</v>
      </c>
      <c r="E12" s="42">
        <f t="shared" si="0"/>
        <v>112.90516206482593</v>
      </c>
      <c r="F12" s="42">
        <f t="shared" si="1"/>
        <v>112.25</v>
      </c>
    </row>
    <row r="13" spans="1:10" ht="31" x14ac:dyDescent="0.4">
      <c r="A13" s="1">
        <v>2022</v>
      </c>
      <c r="B13" s="1" t="s">
        <v>161</v>
      </c>
      <c r="C13" s="1">
        <v>62</v>
      </c>
      <c r="D13" s="1">
        <f t="shared" ref="D13" si="5">$J$9</f>
        <v>0.56353003721424777</v>
      </c>
      <c r="E13" s="42">
        <f t="shared" si="0"/>
        <v>110.02075471698113</v>
      </c>
      <c r="F13" s="42">
        <f t="shared" si="1"/>
        <v>113.75</v>
      </c>
      <c r="H13" s="57" t="s">
        <v>176</v>
      </c>
    </row>
    <row r="14" spans="1:10" x14ac:dyDescent="0.35">
      <c r="A14" s="1">
        <v>2023</v>
      </c>
      <c r="B14" s="1" t="s">
        <v>158</v>
      </c>
      <c r="C14" s="1">
        <v>58</v>
      </c>
      <c r="D14" s="1">
        <f t="shared" ref="D14" si="6">$J$6</f>
        <v>0.46783625730994149</v>
      </c>
      <c r="E14" s="42">
        <f t="shared" si="0"/>
        <v>123.97500000000001</v>
      </c>
      <c r="F14" s="42">
        <f t="shared" si="1"/>
        <v>117</v>
      </c>
    </row>
    <row r="15" spans="1:10" x14ac:dyDescent="0.35">
      <c r="A15" s="1">
        <v>2023</v>
      </c>
      <c r="B15" s="1" t="s">
        <v>159</v>
      </c>
      <c r="C15" s="1">
        <v>148</v>
      </c>
      <c r="D15" s="1">
        <f t="shared" ref="D15" si="7">$J$7</f>
        <v>1.1972355130249868</v>
      </c>
      <c r="E15" s="42">
        <f t="shared" si="0"/>
        <v>123.61811722912965</v>
      </c>
      <c r="F15" s="42">
        <f t="shared" si="1"/>
        <v>121.5</v>
      </c>
      <c r="H15" s="13" t="s">
        <v>177</v>
      </c>
    </row>
    <row r="16" spans="1:10" x14ac:dyDescent="0.35">
      <c r="A16" s="1">
        <v>2023</v>
      </c>
      <c r="B16" s="1" t="s">
        <v>160</v>
      </c>
      <c r="C16" s="1">
        <v>218</v>
      </c>
      <c r="D16" s="1">
        <f t="shared" ref="D16" si="8">$J$8</f>
        <v>1.771398192450824</v>
      </c>
      <c r="E16" s="42">
        <f t="shared" si="0"/>
        <v>123.06662665066027</v>
      </c>
      <c r="F16" s="42">
        <f t="shared" si="1"/>
        <v>123.5</v>
      </c>
      <c r="H16" s="1" t="s">
        <v>178</v>
      </c>
    </row>
    <row r="17" spans="1:8" x14ac:dyDescent="0.35">
      <c r="A17" s="1">
        <v>2023</v>
      </c>
      <c r="B17" s="1" t="s">
        <v>161</v>
      </c>
      <c r="C17" s="1">
        <v>70</v>
      </c>
      <c r="D17" s="1">
        <f t="shared" ref="D17" si="9">$J$9</f>
        <v>0.56353003721424777</v>
      </c>
      <c r="E17" s="42">
        <f t="shared" si="0"/>
        <v>124.21698113207546</v>
      </c>
      <c r="F17" s="42">
        <f t="shared" si="1"/>
        <v>125.25</v>
      </c>
    </row>
    <row r="18" spans="1:8" x14ac:dyDescent="0.35">
      <c r="A18" s="1">
        <v>2024</v>
      </c>
      <c r="B18" s="1" t="s">
        <v>158</v>
      </c>
      <c r="C18" s="1">
        <v>65</v>
      </c>
      <c r="D18" s="1">
        <f t="shared" ref="D18" si="10">$J$6</f>
        <v>0.46783625730994149</v>
      </c>
      <c r="E18" s="42">
        <f t="shared" si="0"/>
        <v>138.9375</v>
      </c>
      <c r="F18" s="42">
        <f t="shared" si="1"/>
        <v>128.25</v>
      </c>
      <c r="H18" s="13" t="s">
        <v>179</v>
      </c>
    </row>
    <row r="19" spans="1:8" x14ac:dyDescent="0.35">
      <c r="A19" s="1">
        <v>2024</v>
      </c>
      <c r="B19" s="1" t="s">
        <v>159</v>
      </c>
      <c r="C19" s="1">
        <v>160</v>
      </c>
      <c r="D19" s="1">
        <f t="shared" ref="D19" si="11">$J$7</f>
        <v>1.1972355130249868</v>
      </c>
      <c r="E19" s="42">
        <f t="shared" si="0"/>
        <v>133.64120781527529</v>
      </c>
      <c r="F19" s="42">
        <f t="shared" si="1"/>
        <v>132.5</v>
      </c>
      <c r="H19" s="1" t="s">
        <v>180</v>
      </c>
    </row>
    <row r="20" spans="1:8" x14ac:dyDescent="0.35">
      <c r="A20" s="1">
        <v>2024</v>
      </c>
      <c r="B20" s="1" t="s">
        <v>160</v>
      </c>
      <c r="C20" s="1">
        <v>235</v>
      </c>
      <c r="D20" s="1">
        <f t="shared" ref="D20" si="12">$J$8</f>
        <v>1.771398192450824</v>
      </c>
      <c r="E20" s="42">
        <f t="shared" si="0"/>
        <v>132.66356542617046</v>
      </c>
      <c r="F20" s="42">
        <f t="shared" si="1"/>
        <v>134.5</v>
      </c>
      <c r="H20" s="1" t="s">
        <v>181</v>
      </c>
    </row>
    <row r="21" spans="1:8" x14ac:dyDescent="0.35">
      <c r="A21" s="1">
        <v>2024</v>
      </c>
      <c r="B21" s="1" t="s">
        <v>161</v>
      </c>
      <c r="C21" s="1">
        <v>78</v>
      </c>
      <c r="D21" s="1">
        <f t="shared" ref="D21" si="13">$J$9</f>
        <v>0.56353003721424777</v>
      </c>
      <c r="E21" s="42">
        <f t="shared" si="0"/>
        <v>138.4132075471698</v>
      </c>
      <c r="H21" s="1" t="s">
        <v>182</v>
      </c>
    </row>
    <row r="22" spans="1:8" x14ac:dyDescent="0.35">
      <c r="H22" s="50" t="s">
        <v>183</v>
      </c>
    </row>
    <row r="23" spans="1:8" x14ac:dyDescent="0.35">
      <c r="A23" s="53" t="s">
        <v>168</v>
      </c>
      <c r="B23" s="54"/>
      <c r="C23" s="54"/>
      <c r="D23" s="54"/>
      <c r="E23" s="54"/>
      <c r="F23" s="54"/>
    </row>
    <row r="24" spans="1:8" x14ac:dyDescent="0.35">
      <c r="A24" s="55" t="s">
        <v>152</v>
      </c>
      <c r="B24" s="55" t="s">
        <v>153</v>
      </c>
      <c r="C24" s="55" t="s">
        <v>169</v>
      </c>
      <c r="D24" s="55" t="s">
        <v>170</v>
      </c>
      <c r="H24" s="13" t="s">
        <v>184</v>
      </c>
    </row>
    <row r="25" spans="1:8" x14ac:dyDescent="0.35">
      <c r="A25" s="1">
        <v>2025</v>
      </c>
      <c r="B25" s="1" t="s">
        <v>158</v>
      </c>
      <c r="C25" s="42">
        <f>C18+(C18-C14)*$J$6/$J$6</f>
        <v>72</v>
      </c>
      <c r="D25" s="44" t="s">
        <v>171</v>
      </c>
      <c r="H25" s="1" t="s">
        <v>185</v>
      </c>
    </row>
    <row r="26" spans="1:8" x14ac:dyDescent="0.35">
      <c r="A26" s="1">
        <v>2025</v>
      </c>
      <c r="B26" s="1" t="s">
        <v>159</v>
      </c>
      <c r="C26" s="42">
        <f>C19+(C19-C15)*$J$7/$J$7</f>
        <v>172</v>
      </c>
      <c r="D26" s="44" t="s">
        <v>172</v>
      </c>
      <c r="H26" s="1" t="s">
        <v>186</v>
      </c>
    </row>
    <row r="27" spans="1:8" x14ac:dyDescent="0.35">
      <c r="A27" s="1">
        <v>2025</v>
      </c>
      <c r="B27" s="1" t="s">
        <v>160</v>
      </c>
      <c r="C27" s="42">
        <f>C20+(C20-C16)*$J$8/$J$8</f>
        <v>252</v>
      </c>
      <c r="D27" s="44" t="s">
        <v>173</v>
      </c>
      <c r="H27" s="1" t="s">
        <v>187</v>
      </c>
    </row>
    <row r="28" spans="1:8" x14ac:dyDescent="0.35">
      <c r="A28" s="1">
        <v>2025</v>
      </c>
      <c r="B28" s="1" t="s">
        <v>161</v>
      </c>
      <c r="C28" s="42">
        <f>C21+(C21-C17)*$J$9/$J$9</f>
        <v>86</v>
      </c>
      <c r="D28" s="44" t="s">
        <v>174</v>
      </c>
    </row>
    <row r="30" spans="1:8" x14ac:dyDescent="0.35">
      <c r="A30" s="58" t="s">
        <v>102</v>
      </c>
    </row>
  </sheetData>
  <mergeCells count="2">
    <mergeCell ref="A1:F1"/>
    <mergeCell ref="A2:F2"/>
  </mergeCells>
  <hyperlinks>
    <hyperlink ref="A30" location="'TOC'!A1" display="← Back to Table of Contents" xr:uid="{C5FEF62E-9543-6840-A021-2B23D3ED5881}"/>
  </hyperlink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9F35-DC42-604F-A1FD-0DEA7DE73DE4}">
  <sheetPr>
    <tabColor rgb="FF7030A0"/>
  </sheetPr>
  <dimension ref="A1:F43"/>
  <sheetViews>
    <sheetView workbookViewId="0">
      <selection activeCell="F5" sqref="F5"/>
    </sheetView>
  </sheetViews>
  <sheetFormatPr baseColWidth="10" defaultRowHeight="29" x14ac:dyDescent="0.35"/>
  <cols>
    <col min="1" max="1" width="30" style="1" customWidth="1"/>
    <col min="2" max="2" width="61.6640625" style="1" customWidth="1"/>
    <col min="3" max="3" width="53.33203125" style="1" customWidth="1"/>
    <col min="4" max="16384" width="10.83203125" style="1"/>
  </cols>
  <sheetData>
    <row r="1" spans="1:6" x14ac:dyDescent="0.35">
      <c r="A1" s="263" t="s">
        <v>188</v>
      </c>
      <c r="B1" s="263"/>
      <c r="C1" s="263"/>
    </row>
    <row r="3" spans="1:6" x14ac:dyDescent="0.35">
      <c r="A3" s="63" t="s">
        <v>189</v>
      </c>
      <c r="B3" s="64"/>
      <c r="C3" s="64"/>
    </row>
    <row r="5" spans="1:6" ht="30" x14ac:dyDescent="0.35">
      <c r="A5" s="65" t="s">
        <v>190</v>
      </c>
      <c r="B5" s="75" t="s">
        <v>191</v>
      </c>
      <c r="C5" s="75" t="s">
        <v>192</v>
      </c>
      <c r="F5" s="74"/>
    </row>
    <row r="6" spans="1:6" ht="36" customHeight="1" x14ac:dyDescent="0.35">
      <c r="A6" s="66">
        <v>1</v>
      </c>
      <c r="B6" s="76" t="s">
        <v>193</v>
      </c>
      <c r="C6" s="77" t="s">
        <v>194</v>
      </c>
    </row>
    <row r="7" spans="1:6" ht="36" customHeight="1" x14ac:dyDescent="0.35">
      <c r="A7" s="67">
        <v>2</v>
      </c>
      <c r="B7" s="78" t="s">
        <v>195</v>
      </c>
      <c r="C7" s="79" t="s">
        <v>196</v>
      </c>
    </row>
    <row r="8" spans="1:6" ht="36" customHeight="1" x14ac:dyDescent="0.35">
      <c r="A8" s="66">
        <v>3</v>
      </c>
      <c r="B8" s="76" t="s">
        <v>197</v>
      </c>
      <c r="C8" s="77" t="s">
        <v>198</v>
      </c>
    </row>
    <row r="9" spans="1:6" ht="36" customHeight="1" x14ac:dyDescent="0.35">
      <c r="A9" s="67">
        <v>4</v>
      </c>
      <c r="B9" s="78" t="s">
        <v>199</v>
      </c>
      <c r="C9" s="79" t="s">
        <v>200</v>
      </c>
    </row>
    <row r="10" spans="1:6" ht="36" customHeight="1" x14ac:dyDescent="0.35">
      <c r="A10" s="66">
        <v>5</v>
      </c>
      <c r="B10" s="76" t="s">
        <v>201</v>
      </c>
      <c r="C10" s="77" t="s">
        <v>202</v>
      </c>
    </row>
    <row r="11" spans="1:6" ht="36" customHeight="1" x14ac:dyDescent="0.35">
      <c r="A11" s="67">
        <v>6</v>
      </c>
      <c r="B11" s="78" t="s">
        <v>203</v>
      </c>
      <c r="C11" s="79" t="s">
        <v>204</v>
      </c>
    </row>
    <row r="12" spans="1:6" x14ac:dyDescent="0.35">
      <c r="B12" s="80"/>
      <c r="C12" s="80"/>
    </row>
    <row r="13" spans="1:6" x14ac:dyDescent="0.35">
      <c r="A13" s="35" t="s">
        <v>205</v>
      </c>
      <c r="B13" s="81"/>
      <c r="C13" s="81"/>
    </row>
    <row r="14" spans="1:6" x14ac:dyDescent="0.35">
      <c r="B14" s="80"/>
      <c r="C14" s="80"/>
    </row>
    <row r="15" spans="1:6" ht="30" x14ac:dyDescent="0.35">
      <c r="A15" s="68" t="s">
        <v>206</v>
      </c>
      <c r="B15" s="82" t="s">
        <v>207</v>
      </c>
      <c r="C15" s="82" t="s">
        <v>208</v>
      </c>
    </row>
    <row r="16" spans="1:6" ht="28" customHeight="1" x14ac:dyDescent="0.35">
      <c r="A16" s="37" t="s">
        <v>209</v>
      </c>
      <c r="B16" s="83" t="s">
        <v>210</v>
      </c>
      <c r="C16" s="83" t="s">
        <v>211</v>
      </c>
    </row>
    <row r="17" spans="1:3" ht="28" customHeight="1" x14ac:dyDescent="0.35">
      <c r="A17" s="69" t="s">
        <v>212</v>
      </c>
      <c r="B17" s="84" t="s">
        <v>213</v>
      </c>
      <c r="C17" s="84" t="s">
        <v>214</v>
      </c>
    </row>
    <row r="18" spans="1:3" ht="28" customHeight="1" x14ac:dyDescent="0.35">
      <c r="A18" s="37" t="s">
        <v>215</v>
      </c>
      <c r="B18" s="83" t="s">
        <v>216</v>
      </c>
      <c r="C18" s="83" t="s">
        <v>217</v>
      </c>
    </row>
    <row r="19" spans="1:3" ht="28" customHeight="1" x14ac:dyDescent="0.35">
      <c r="A19" s="69" t="s">
        <v>218</v>
      </c>
      <c r="B19" s="84" t="s">
        <v>219</v>
      </c>
      <c r="C19" s="84" t="s">
        <v>220</v>
      </c>
    </row>
    <row r="20" spans="1:3" ht="28" customHeight="1" x14ac:dyDescent="0.35">
      <c r="A20" s="37" t="s">
        <v>221</v>
      </c>
      <c r="B20" s="83" t="s">
        <v>222</v>
      </c>
      <c r="C20" s="83" t="s">
        <v>223</v>
      </c>
    </row>
    <row r="21" spans="1:3" ht="28" customHeight="1" x14ac:dyDescent="0.35">
      <c r="A21" s="69" t="s">
        <v>224</v>
      </c>
      <c r="B21" s="84" t="s">
        <v>225</v>
      </c>
      <c r="C21" s="84" t="s">
        <v>226</v>
      </c>
    </row>
    <row r="22" spans="1:3" x14ac:dyDescent="0.35">
      <c r="B22" s="80"/>
      <c r="C22" s="80"/>
    </row>
    <row r="23" spans="1:3" x14ac:dyDescent="0.35">
      <c r="A23" s="70" t="s">
        <v>227</v>
      </c>
      <c r="B23" s="85"/>
      <c r="C23" s="85"/>
    </row>
    <row r="24" spans="1:3" x14ac:dyDescent="0.35">
      <c r="B24" s="80"/>
      <c r="C24" s="80"/>
    </row>
    <row r="25" spans="1:3" x14ac:dyDescent="0.35">
      <c r="A25" s="71" t="s">
        <v>206</v>
      </c>
      <c r="B25" s="86" t="s">
        <v>228</v>
      </c>
      <c r="C25" s="86" t="s">
        <v>229</v>
      </c>
    </row>
    <row r="26" spans="1:3" ht="28" customHeight="1" x14ac:dyDescent="0.35">
      <c r="A26" s="72" t="s">
        <v>230</v>
      </c>
      <c r="B26" s="87" t="s">
        <v>231</v>
      </c>
      <c r="C26" s="87" t="s">
        <v>232</v>
      </c>
    </row>
    <row r="27" spans="1:3" ht="28" customHeight="1" x14ac:dyDescent="0.35">
      <c r="A27" s="73" t="s">
        <v>233</v>
      </c>
      <c r="B27" s="88" t="s">
        <v>234</v>
      </c>
      <c r="C27" s="88" t="s">
        <v>235</v>
      </c>
    </row>
    <row r="28" spans="1:3" ht="28" customHeight="1" x14ac:dyDescent="0.35">
      <c r="A28" s="72" t="s">
        <v>236</v>
      </c>
      <c r="B28" s="87" t="s">
        <v>237</v>
      </c>
      <c r="C28" s="87" t="s">
        <v>238</v>
      </c>
    </row>
    <row r="29" spans="1:3" ht="28" customHeight="1" x14ac:dyDescent="0.35">
      <c r="A29" s="73" t="s">
        <v>239</v>
      </c>
      <c r="B29" s="88" t="s">
        <v>240</v>
      </c>
      <c r="C29" s="88" t="s">
        <v>241</v>
      </c>
    </row>
    <row r="30" spans="1:3" ht="28" customHeight="1" x14ac:dyDescent="0.35">
      <c r="A30" s="72" t="s">
        <v>242</v>
      </c>
      <c r="B30" s="87" t="s">
        <v>243</v>
      </c>
      <c r="C30" s="87" t="s">
        <v>244</v>
      </c>
    </row>
    <row r="31" spans="1:3" ht="28" customHeight="1" x14ac:dyDescent="0.35">
      <c r="A31" s="73" t="s">
        <v>245</v>
      </c>
      <c r="B31" s="88" t="s">
        <v>246</v>
      </c>
      <c r="C31" s="88" t="s">
        <v>247</v>
      </c>
    </row>
    <row r="32" spans="1:3" x14ac:dyDescent="0.35">
      <c r="B32" s="80"/>
      <c r="C32" s="80"/>
    </row>
    <row r="33" spans="1:3" x14ac:dyDescent="0.35">
      <c r="A33" s="59" t="s">
        <v>248</v>
      </c>
      <c r="B33" s="89"/>
      <c r="C33" s="89"/>
    </row>
    <row r="34" spans="1:3" x14ac:dyDescent="0.35">
      <c r="B34" s="80"/>
      <c r="C34" s="80"/>
    </row>
    <row r="35" spans="1:3" x14ac:dyDescent="0.35">
      <c r="A35" s="60" t="s">
        <v>249</v>
      </c>
      <c r="B35" s="90" t="s">
        <v>250</v>
      </c>
      <c r="C35" s="90" t="s">
        <v>251</v>
      </c>
    </row>
    <row r="36" spans="1:3" ht="28" customHeight="1" x14ac:dyDescent="0.35">
      <c r="A36" s="61" t="s">
        <v>252</v>
      </c>
      <c r="B36" s="91" t="s">
        <v>253</v>
      </c>
      <c r="C36" s="91" t="s">
        <v>254</v>
      </c>
    </row>
    <row r="37" spans="1:3" ht="28" customHeight="1" x14ac:dyDescent="0.35">
      <c r="A37" s="62" t="s">
        <v>255</v>
      </c>
      <c r="B37" s="92" t="s">
        <v>256</v>
      </c>
      <c r="C37" s="92" t="s">
        <v>257</v>
      </c>
    </row>
    <row r="38" spans="1:3" ht="28" customHeight="1" x14ac:dyDescent="0.35">
      <c r="A38" s="61" t="s">
        <v>258</v>
      </c>
      <c r="B38" s="91" t="s">
        <v>259</v>
      </c>
      <c r="C38" s="91" t="s">
        <v>260</v>
      </c>
    </row>
    <row r="39" spans="1:3" ht="28" customHeight="1" x14ac:dyDescent="0.35">
      <c r="A39" s="62" t="s">
        <v>261</v>
      </c>
      <c r="B39" s="92" t="s">
        <v>262</v>
      </c>
      <c r="C39" s="92" t="s">
        <v>263</v>
      </c>
    </row>
    <row r="40" spans="1:3" ht="28" customHeight="1" x14ac:dyDescent="0.35">
      <c r="A40" s="61" t="s">
        <v>264</v>
      </c>
      <c r="B40" s="91" t="s">
        <v>265</v>
      </c>
      <c r="C40" s="91" t="s">
        <v>266</v>
      </c>
    </row>
    <row r="41" spans="1:3" ht="28" customHeight="1" x14ac:dyDescent="0.35">
      <c r="A41" s="62" t="s">
        <v>267</v>
      </c>
      <c r="B41" s="92" t="s">
        <v>268</v>
      </c>
      <c r="C41" s="92" t="s">
        <v>269</v>
      </c>
    </row>
    <row r="43" spans="1:3" x14ac:dyDescent="0.35">
      <c r="A43" s="93" t="s">
        <v>102</v>
      </c>
    </row>
  </sheetData>
  <mergeCells count="1">
    <mergeCell ref="A1:C1"/>
  </mergeCells>
  <hyperlinks>
    <hyperlink ref="A43" location="'TOC'!A1" display="← Back to Table of Contents" xr:uid="{5506800D-7EDE-1045-A936-A77B311DCB3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99541-F916-4D43-92AA-E273CFBBD3BD}">
  <sheetPr>
    <tabColor rgb="FFED7D31"/>
  </sheetPr>
  <dimension ref="A1:D41"/>
  <sheetViews>
    <sheetView topLeftCell="C3" workbookViewId="0">
      <selection activeCell="D7" sqref="D7"/>
    </sheetView>
  </sheetViews>
  <sheetFormatPr baseColWidth="10" defaultRowHeight="29" x14ac:dyDescent="0.35"/>
  <cols>
    <col min="1" max="1" width="5" style="1" customWidth="1"/>
    <col min="2" max="2" width="15" style="1" customWidth="1"/>
    <col min="3" max="3" width="80.1640625" style="1" customWidth="1"/>
    <col min="4" max="4" width="194.6640625" style="1" customWidth="1"/>
    <col min="5" max="16384" width="10.83203125" style="1"/>
  </cols>
  <sheetData>
    <row r="1" spans="1:4" x14ac:dyDescent="0.35">
      <c r="A1" s="264" t="s">
        <v>270</v>
      </c>
      <c r="B1" s="264"/>
      <c r="C1" s="264"/>
      <c r="D1" s="264"/>
    </row>
    <row r="2" spans="1:4" x14ac:dyDescent="0.35">
      <c r="A2" s="265" t="s">
        <v>271</v>
      </c>
      <c r="B2" s="265"/>
      <c r="C2" s="265"/>
      <c r="D2" s="265"/>
    </row>
    <row r="4" spans="1:4" ht="30" x14ac:dyDescent="0.35">
      <c r="A4" s="101" t="s">
        <v>190</v>
      </c>
      <c r="B4" s="102" t="s">
        <v>272</v>
      </c>
      <c r="C4" s="103" t="s">
        <v>273</v>
      </c>
      <c r="D4" s="103" t="s">
        <v>274</v>
      </c>
    </row>
    <row r="5" spans="1:4" ht="90" x14ac:dyDescent="0.35">
      <c r="A5" s="104">
        <v>1</v>
      </c>
      <c r="B5" s="105" t="s">
        <v>275</v>
      </c>
      <c r="C5" s="106" t="s">
        <v>276</v>
      </c>
      <c r="D5" s="107" t="s">
        <v>277</v>
      </c>
    </row>
    <row r="6" spans="1:4" ht="90" x14ac:dyDescent="0.35">
      <c r="A6" s="108">
        <v>2</v>
      </c>
      <c r="B6" s="109" t="s">
        <v>275</v>
      </c>
      <c r="C6" s="110" t="s">
        <v>278</v>
      </c>
      <c r="D6" s="111" t="s">
        <v>279</v>
      </c>
    </row>
    <row r="7" spans="1:4" ht="90" x14ac:dyDescent="0.35">
      <c r="A7" s="104">
        <v>3</v>
      </c>
      <c r="B7" s="105" t="s">
        <v>275</v>
      </c>
      <c r="C7" s="106" t="s">
        <v>280</v>
      </c>
      <c r="D7" s="107" t="s">
        <v>281</v>
      </c>
    </row>
    <row r="8" spans="1:4" ht="90" x14ac:dyDescent="0.35">
      <c r="A8" s="108">
        <v>4</v>
      </c>
      <c r="B8" s="109" t="s">
        <v>275</v>
      </c>
      <c r="C8" s="110" t="s">
        <v>282</v>
      </c>
      <c r="D8" s="111" t="s">
        <v>283</v>
      </c>
    </row>
    <row r="9" spans="1:4" ht="90" x14ac:dyDescent="0.35">
      <c r="A9" s="104">
        <v>5</v>
      </c>
      <c r="B9" s="105" t="s">
        <v>275</v>
      </c>
      <c r="C9" s="106" t="s">
        <v>284</v>
      </c>
      <c r="D9" s="107" t="s">
        <v>285</v>
      </c>
    </row>
    <row r="10" spans="1:4" ht="90" x14ac:dyDescent="0.35">
      <c r="A10" s="108">
        <v>6</v>
      </c>
      <c r="B10" s="109" t="s">
        <v>275</v>
      </c>
      <c r="C10" s="110" t="s">
        <v>286</v>
      </c>
      <c r="D10" s="111" t="s">
        <v>287</v>
      </c>
    </row>
    <row r="11" spans="1:4" ht="90" x14ac:dyDescent="0.35">
      <c r="A11" s="104">
        <v>7</v>
      </c>
      <c r="B11" s="105" t="s">
        <v>275</v>
      </c>
      <c r="C11" s="106" t="s">
        <v>288</v>
      </c>
      <c r="D11" s="107" t="s">
        <v>289</v>
      </c>
    </row>
    <row r="12" spans="1:4" ht="90" x14ac:dyDescent="0.35">
      <c r="A12" s="108">
        <v>8</v>
      </c>
      <c r="B12" s="109" t="s">
        <v>275</v>
      </c>
      <c r="C12" s="110" t="s">
        <v>290</v>
      </c>
      <c r="D12" s="111" t="s">
        <v>291</v>
      </c>
    </row>
    <row r="13" spans="1:4" ht="90" x14ac:dyDescent="0.35">
      <c r="A13" s="104">
        <v>9</v>
      </c>
      <c r="B13" s="105" t="s">
        <v>275</v>
      </c>
      <c r="C13" s="106" t="s">
        <v>292</v>
      </c>
      <c r="D13" s="107" t="s">
        <v>293</v>
      </c>
    </row>
    <row r="14" spans="1:4" ht="90" x14ac:dyDescent="0.35">
      <c r="A14" s="108">
        <v>10</v>
      </c>
      <c r="B14" s="109" t="s">
        <v>275</v>
      </c>
      <c r="C14" s="110" t="s">
        <v>294</v>
      </c>
      <c r="D14" s="111" t="s">
        <v>295</v>
      </c>
    </row>
    <row r="15" spans="1:4" ht="90" x14ac:dyDescent="0.35">
      <c r="A15" s="97">
        <v>11</v>
      </c>
      <c r="B15" s="98" t="s">
        <v>296</v>
      </c>
      <c r="C15" s="99" t="s">
        <v>297</v>
      </c>
      <c r="D15" s="100" t="s">
        <v>298</v>
      </c>
    </row>
    <row r="16" spans="1:4" ht="90" x14ac:dyDescent="0.35">
      <c r="A16" s="108">
        <v>12</v>
      </c>
      <c r="B16" s="109" t="s">
        <v>296</v>
      </c>
      <c r="C16" s="110" t="s">
        <v>299</v>
      </c>
      <c r="D16" s="111" t="s">
        <v>300</v>
      </c>
    </row>
    <row r="17" spans="1:4" ht="90" x14ac:dyDescent="0.35">
      <c r="A17" s="104">
        <v>13</v>
      </c>
      <c r="B17" s="105" t="s">
        <v>296</v>
      </c>
      <c r="C17" s="106" t="s">
        <v>301</v>
      </c>
      <c r="D17" s="107" t="s">
        <v>302</v>
      </c>
    </row>
    <row r="18" spans="1:4" ht="90" x14ac:dyDescent="0.35">
      <c r="A18" s="108">
        <v>14</v>
      </c>
      <c r="B18" s="109" t="s">
        <v>296</v>
      </c>
      <c r="C18" s="110" t="s">
        <v>303</v>
      </c>
      <c r="D18" s="111" t="s">
        <v>304</v>
      </c>
    </row>
    <row r="19" spans="1:4" ht="90" x14ac:dyDescent="0.35">
      <c r="A19" s="104">
        <v>15</v>
      </c>
      <c r="B19" s="105" t="s">
        <v>296</v>
      </c>
      <c r="C19" s="106" t="s">
        <v>305</v>
      </c>
      <c r="D19" s="107" t="s">
        <v>306</v>
      </c>
    </row>
    <row r="20" spans="1:4" ht="90" x14ac:dyDescent="0.35">
      <c r="A20" s="108">
        <v>16</v>
      </c>
      <c r="B20" s="109" t="s">
        <v>296</v>
      </c>
      <c r="C20" s="110" t="s">
        <v>307</v>
      </c>
      <c r="D20" s="111" t="s">
        <v>308</v>
      </c>
    </row>
    <row r="21" spans="1:4" ht="90" x14ac:dyDescent="0.35">
      <c r="A21" s="104">
        <v>17</v>
      </c>
      <c r="B21" s="105" t="s">
        <v>296</v>
      </c>
      <c r="C21" s="106" t="s">
        <v>309</v>
      </c>
      <c r="D21" s="107" t="s">
        <v>310</v>
      </c>
    </row>
    <row r="22" spans="1:4" ht="90" x14ac:dyDescent="0.35">
      <c r="A22" s="108">
        <v>18</v>
      </c>
      <c r="B22" s="109" t="s">
        <v>296</v>
      </c>
      <c r="C22" s="110" t="s">
        <v>311</v>
      </c>
      <c r="D22" s="111" t="s">
        <v>312</v>
      </c>
    </row>
    <row r="23" spans="1:4" ht="90" x14ac:dyDescent="0.35">
      <c r="A23" s="104">
        <v>19</v>
      </c>
      <c r="B23" s="105" t="s">
        <v>296</v>
      </c>
      <c r="C23" s="106" t="s">
        <v>313</v>
      </c>
      <c r="D23" s="107" t="s">
        <v>314</v>
      </c>
    </row>
    <row r="24" spans="1:4" ht="90" x14ac:dyDescent="0.35">
      <c r="A24" s="108">
        <v>20</v>
      </c>
      <c r="B24" s="109" t="s">
        <v>296</v>
      </c>
      <c r="C24" s="110" t="s">
        <v>315</v>
      </c>
      <c r="D24" s="111" t="s">
        <v>316</v>
      </c>
    </row>
    <row r="25" spans="1:4" ht="90" x14ac:dyDescent="0.35">
      <c r="A25" s="104">
        <v>21</v>
      </c>
      <c r="B25" s="105" t="s">
        <v>317</v>
      </c>
      <c r="C25" s="106" t="s">
        <v>318</v>
      </c>
      <c r="D25" s="107" t="s">
        <v>319</v>
      </c>
    </row>
    <row r="26" spans="1:4" ht="90" x14ac:dyDescent="0.35">
      <c r="A26" s="108">
        <v>22</v>
      </c>
      <c r="B26" s="109" t="s">
        <v>317</v>
      </c>
      <c r="C26" s="110" t="s">
        <v>320</v>
      </c>
      <c r="D26" s="111" t="s">
        <v>321</v>
      </c>
    </row>
    <row r="27" spans="1:4" ht="90" x14ac:dyDescent="0.35">
      <c r="A27" s="104">
        <v>23</v>
      </c>
      <c r="B27" s="105" t="s">
        <v>317</v>
      </c>
      <c r="C27" s="106" t="s">
        <v>322</v>
      </c>
      <c r="D27" s="107" t="s">
        <v>323</v>
      </c>
    </row>
    <row r="28" spans="1:4" ht="90" x14ac:dyDescent="0.35">
      <c r="A28" s="108">
        <v>24</v>
      </c>
      <c r="B28" s="109" t="s">
        <v>317</v>
      </c>
      <c r="C28" s="110" t="s">
        <v>324</v>
      </c>
      <c r="D28" s="111" t="s">
        <v>325</v>
      </c>
    </row>
    <row r="29" spans="1:4" ht="90" x14ac:dyDescent="0.35">
      <c r="A29" s="104">
        <v>25</v>
      </c>
      <c r="B29" s="105" t="s">
        <v>326</v>
      </c>
      <c r="C29" s="106" t="s">
        <v>327</v>
      </c>
      <c r="D29" s="107" t="s">
        <v>328</v>
      </c>
    </row>
    <row r="30" spans="1:4" ht="90" x14ac:dyDescent="0.35">
      <c r="A30" s="108">
        <v>26</v>
      </c>
      <c r="B30" s="109" t="s">
        <v>326</v>
      </c>
      <c r="C30" s="110" t="s">
        <v>329</v>
      </c>
      <c r="D30" s="111" t="s">
        <v>330</v>
      </c>
    </row>
    <row r="31" spans="1:4" ht="90" x14ac:dyDescent="0.35">
      <c r="A31" s="104">
        <v>27</v>
      </c>
      <c r="B31" s="105" t="s">
        <v>326</v>
      </c>
      <c r="C31" s="106" t="s">
        <v>331</v>
      </c>
      <c r="D31" s="107" t="s">
        <v>332</v>
      </c>
    </row>
    <row r="32" spans="1:4" ht="90" x14ac:dyDescent="0.35">
      <c r="A32" s="108">
        <v>28</v>
      </c>
      <c r="B32" s="109" t="s">
        <v>326</v>
      </c>
      <c r="C32" s="110" t="s">
        <v>333</v>
      </c>
      <c r="D32" s="111" t="s">
        <v>334</v>
      </c>
    </row>
    <row r="33" spans="1:4" ht="90" x14ac:dyDescent="0.35">
      <c r="A33" s="104">
        <v>29</v>
      </c>
      <c r="B33" s="105" t="s">
        <v>326</v>
      </c>
      <c r="C33" s="106" t="s">
        <v>335</v>
      </c>
      <c r="D33" s="107" t="s">
        <v>336</v>
      </c>
    </row>
    <row r="34" spans="1:4" ht="90" x14ac:dyDescent="0.35">
      <c r="A34" s="108">
        <v>30</v>
      </c>
      <c r="B34" s="109" t="s">
        <v>326</v>
      </c>
      <c r="C34" s="110" t="s">
        <v>337</v>
      </c>
      <c r="D34" s="111" t="s">
        <v>338</v>
      </c>
    </row>
    <row r="35" spans="1:4" ht="90" x14ac:dyDescent="0.35">
      <c r="A35" s="104">
        <v>31</v>
      </c>
      <c r="B35" s="105" t="s">
        <v>339</v>
      </c>
      <c r="C35" s="106" t="s">
        <v>340</v>
      </c>
      <c r="D35" s="107" t="s">
        <v>341</v>
      </c>
    </row>
    <row r="36" spans="1:4" ht="90" x14ac:dyDescent="0.35">
      <c r="A36" s="108">
        <v>32</v>
      </c>
      <c r="B36" s="109" t="s">
        <v>339</v>
      </c>
      <c r="C36" s="110" t="s">
        <v>342</v>
      </c>
      <c r="D36" s="111" t="s">
        <v>343</v>
      </c>
    </row>
    <row r="37" spans="1:4" ht="90" x14ac:dyDescent="0.35">
      <c r="A37" s="104">
        <v>33</v>
      </c>
      <c r="B37" s="105" t="s">
        <v>339</v>
      </c>
      <c r="C37" s="106" t="s">
        <v>344</v>
      </c>
      <c r="D37" s="107" t="s">
        <v>345</v>
      </c>
    </row>
    <row r="38" spans="1:4" ht="90" x14ac:dyDescent="0.35">
      <c r="A38" s="108">
        <v>34</v>
      </c>
      <c r="B38" s="109" t="s">
        <v>339</v>
      </c>
      <c r="C38" s="110" t="s">
        <v>346</v>
      </c>
      <c r="D38" s="111" t="s">
        <v>347</v>
      </c>
    </row>
    <row r="39" spans="1:4" ht="120" x14ac:dyDescent="0.35">
      <c r="A39" s="104">
        <v>35</v>
      </c>
      <c r="B39" s="105" t="s">
        <v>339</v>
      </c>
      <c r="C39" s="106" t="s">
        <v>348</v>
      </c>
      <c r="D39" s="107" t="s">
        <v>349</v>
      </c>
    </row>
    <row r="41" spans="1:4" x14ac:dyDescent="0.35">
      <c r="A41" s="96" t="s">
        <v>102</v>
      </c>
    </row>
  </sheetData>
  <mergeCells count="2">
    <mergeCell ref="A1:D1"/>
    <mergeCell ref="A2:D2"/>
  </mergeCells>
  <hyperlinks>
    <hyperlink ref="A41" location="'TOC'!A1" display="← Back to Table of Contents" xr:uid="{E50829A9-EECB-8846-82E4-19B32F303BB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38A7-8D65-EC49-9088-EDB80BAF12FA}">
  <sheetPr>
    <tabColor rgb="FF0070C0"/>
  </sheetPr>
  <dimension ref="A1:M68"/>
  <sheetViews>
    <sheetView topLeftCell="C11" workbookViewId="0">
      <selection activeCell="I17" sqref="I17:M17"/>
    </sheetView>
  </sheetViews>
  <sheetFormatPr baseColWidth="10" defaultRowHeight="29" x14ac:dyDescent="0.35"/>
  <cols>
    <col min="1" max="1" width="10.83203125" style="1" customWidth="1"/>
    <col min="2" max="3" width="15.83203125" style="1" customWidth="1"/>
    <col min="4" max="4" width="21.6640625" style="1" customWidth="1"/>
    <col min="5" max="5" width="20" style="1" customWidth="1"/>
    <col min="6" max="6" width="33.33203125" style="1" customWidth="1"/>
    <col min="7" max="7" width="3.33203125" style="1" customWidth="1"/>
    <col min="8" max="8" width="10.83203125" style="1"/>
    <col min="9" max="9" width="28.33203125" style="1" customWidth="1"/>
    <col min="10" max="10" width="11.6640625" style="1" customWidth="1"/>
    <col min="11" max="11" width="13.33203125" style="1" customWidth="1"/>
    <col min="12" max="12" width="41.6640625" style="1" customWidth="1"/>
    <col min="13" max="13" width="13.33203125" style="1" customWidth="1"/>
    <col min="14" max="16384" width="10.83203125" style="1"/>
  </cols>
  <sheetData>
    <row r="1" spans="1:13" x14ac:dyDescent="0.35">
      <c r="A1" s="266" t="s">
        <v>350</v>
      </c>
      <c r="B1" s="266"/>
      <c r="C1" s="266"/>
      <c r="D1" s="266"/>
      <c r="E1" s="266"/>
      <c r="F1" s="266"/>
      <c r="G1" s="266"/>
    </row>
    <row r="3" spans="1:13" x14ac:dyDescent="0.35">
      <c r="A3" s="112" t="s">
        <v>351</v>
      </c>
      <c r="B3" s="113"/>
      <c r="C3" s="113"/>
      <c r="D3" s="113"/>
      <c r="E3" s="113"/>
      <c r="F3" s="113"/>
      <c r="G3" s="113"/>
      <c r="I3" s="112" t="s">
        <v>372</v>
      </c>
      <c r="J3" s="113"/>
      <c r="K3" s="113"/>
      <c r="L3" s="113"/>
      <c r="M3" s="113"/>
    </row>
    <row r="5" spans="1:13" ht="30" x14ac:dyDescent="0.35">
      <c r="A5" s="13" t="s">
        <v>352</v>
      </c>
      <c r="B5" s="1" t="s">
        <v>353</v>
      </c>
      <c r="I5" s="114" t="s">
        <v>373</v>
      </c>
      <c r="J5" s="114" t="s">
        <v>112</v>
      </c>
      <c r="K5" s="114" t="s">
        <v>113</v>
      </c>
      <c r="L5" s="139" t="s">
        <v>26</v>
      </c>
      <c r="M5" s="115"/>
    </row>
    <row r="6" spans="1:13" ht="61" x14ac:dyDescent="0.4">
      <c r="A6" s="13" t="s">
        <v>354</v>
      </c>
      <c r="B6" s="1" t="s">
        <v>355</v>
      </c>
      <c r="I6" s="116" t="s">
        <v>374</v>
      </c>
      <c r="J6" s="117" t="s">
        <v>115</v>
      </c>
      <c r="K6" s="118">
        <v>2.5</v>
      </c>
      <c r="L6" s="140" t="s">
        <v>375</v>
      </c>
    </row>
    <row r="7" spans="1:13" ht="61" x14ac:dyDescent="0.4">
      <c r="A7" s="13" t="s">
        <v>356</v>
      </c>
      <c r="B7" s="1" t="s">
        <v>357</v>
      </c>
      <c r="I7" s="119" t="s">
        <v>116</v>
      </c>
      <c r="J7" s="120" t="s">
        <v>117</v>
      </c>
      <c r="K7" s="121">
        <v>0.4</v>
      </c>
      <c r="L7" s="141" t="s">
        <v>376</v>
      </c>
    </row>
    <row r="8" spans="1:13" ht="61" x14ac:dyDescent="0.4">
      <c r="A8" s="13" t="s">
        <v>358</v>
      </c>
      <c r="B8" s="1" t="s">
        <v>359</v>
      </c>
      <c r="I8" s="116" t="s">
        <v>118</v>
      </c>
      <c r="J8" s="117" t="s">
        <v>119</v>
      </c>
      <c r="K8" s="122">
        <v>-0.25</v>
      </c>
      <c r="L8" s="140" t="s">
        <v>377</v>
      </c>
    </row>
    <row r="10" spans="1:13" x14ac:dyDescent="0.35">
      <c r="A10" s="112" t="s">
        <v>360</v>
      </c>
      <c r="B10" s="113"/>
      <c r="C10" s="113"/>
      <c r="D10" s="112" t="s">
        <v>363</v>
      </c>
      <c r="E10" s="113"/>
      <c r="F10" s="113"/>
      <c r="G10" s="113"/>
      <c r="I10" s="123" t="s">
        <v>378</v>
      </c>
    </row>
    <row r="11" spans="1:13" ht="128" customHeight="1" x14ac:dyDescent="0.35">
      <c r="A11" s="129" t="s">
        <v>361</v>
      </c>
      <c r="B11" s="129" t="s">
        <v>362</v>
      </c>
      <c r="C11" s="129"/>
      <c r="D11" s="129" t="s">
        <v>361</v>
      </c>
      <c r="E11" s="129" t="s">
        <v>364</v>
      </c>
      <c r="F11" s="130" t="s">
        <v>365</v>
      </c>
      <c r="I11" s="267" t="s">
        <v>379</v>
      </c>
      <c r="J11" s="267"/>
      <c r="K11" s="267"/>
      <c r="L11" s="267"/>
    </row>
    <row r="12" spans="1:13" x14ac:dyDescent="0.35">
      <c r="A12" s="131">
        <v>1</v>
      </c>
      <c r="B12" s="131">
        <v>200</v>
      </c>
      <c r="C12" s="131"/>
      <c r="D12" s="131"/>
      <c r="E12" s="131"/>
      <c r="I12" s="25" t="s">
        <v>380</v>
      </c>
    </row>
    <row r="13" spans="1:13" x14ac:dyDescent="0.35">
      <c r="A13" s="131">
        <v>2</v>
      </c>
      <c r="B13" s="131">
        <v>214</v>
      </c>
      <c r="C13" s="131"/>
      <c r="D13" s="108">
        <f>A13</f>
        <v>2</v>
      </c>
      <c r="E13" s="132">
        <f>B13-B12</f>
        <v>14</v>
      </c>
      <c r="F13" s="44" t="s">
        <v>366</v>
      </c>
    </row>
    <row r="14" spans="1:13" x14ac:dyDescent="0.35">
      <c r="A14" s="131">
        <v>3</v>
      </c>
      <c r="B14" s="131">
        <v>208</v>
      </c>
      <c r="C14" s="131"/>
      <c r="D14" s="108">
        <f t="shared" ref="D14:D41" si="0">A14</f>
        <v>3</v>
      </c>
      <c r="E14" s="132">
        <f t="shared" ref="E14:E41" si="1">B14-B13</f>
        <v>-6</v>
      </c>
      <c r="F14" s="44" t="s">
        <v>367</v>
      </c>
      <c r="I14" s="13" t="s">
        <v>381</v>
      </c>
    </row>
    <row r="15" spans="1:13" x14ac:dyDescent="0.35">
      <c r="A15" s="131">
        <v>4</v>
      </c>
      <c r="B15" s="131">
        <v>222</v>
      </c>
      <c r="C15" s="131"/>
      <c r="D15" s="108">
        <f t="shared" si="0"/>
        <v>4</v>
      </c>
      <c r="E15" s="132">
        <f t="shared" si="1"/>
        <v>14</v>
      </c>
      <c r="I15" s="1" t="s">
        <v>382</v>
      </c>
    </row>
    <row r="16" spans="1:13" x14ac:dyDescent="0.35">
      <c r="A16" s="131">
        <v>5</v>
      </c>
      <c r="B16" s="131">
        <v>218</v>
      </c>
      <c r="C16" s="131"/>
      <c r="D16" s="108">
        <f t="shared" si="0"/>
        <v>5</v>
      </c>
      <c r="E16" s="132">
        <f t="shared" si="1"/>
        <v>-4</v>
      </c>
      <c r="I16" s="1" t="s">
        <v>383</v>
      </c>
    </row>
    <row r="17" spans="1:13" ht="135" customHeight="1" x14ac:dyDescent="0.35">
      <c r="A17" s="131">
        <v>6</v>
      </c>
      <c r="B17" s="131">
        <v>231</v>
      </c>
      <c r="C17" s="131"/>
      <c r="D17" s="108">
        <f t="shared" si="0"/>
        <v>6</v>
      </c>
      <c r="E17" s="132">
        <f t="shared" si="1"/>
        <v>13</v>
      </c>
      <c r="I17" s="268" t="s">
        <v>501</v>
      </c>
      <c r="J17" s="269"/>
      <c r="K17" s="269"/>
      <c r="L17" s="269"/>
      <c r="M17" s="269"/>
    </row>
    <row r="18" spans="1:13" x14ac:dyDescent="0.35">
      <c r="A18" s="131">
        <v>7</v>
      </c>
      <c r="B18" s="131">
        <v>225</v>
      </c>
      <c r="C18" s="131"/>
      <c r="D18" s="108">
        <f t="shared" si="0"/>
        <v>7</v>
      </c>
      <c r="E18" s="132">
        <f t="shared" si="1"/>
        <v>-6</v>
      </c>
      <c r="I18" s="112" t="s">
        <v>384</v>
      </c>
      <c r="J18" s="113"/>
      <c r="K18" s="113"/>
      <c r="L18" s="113"/>
      <c r="M18" s="113"/>
    </row>
    <row r="19" spans="1:13" ht="60" x14ac:dyDescent="0.35">
      <c r="A19" s="131">
        <v>8</v>
      </c>
      <c r="B19" s="131">
        <v>240</v>
      </c>
      <c r="C19" s="131"/>
      <c r="D19" s="108">
        <f t="shared" si="0"/>
        <v>8</v>
      </c>
      <c r="E19" s="132">
        <f t="shared" si="1"/>
        <v>15</v>
      </c>
      <c r="I19" s="124" t="s">
        <v>361</v>
      </c>
      <c r="J19" s="124" t="s">
        <v>385</v>
      </c>
      <c r="K19" s="144" t="s">
        <v>386</v>
      </c>
      <c r="L19" s="124" t="s">
        <v>109</v>
      </c>
      <c r="M19" s="144" t="s">
        <v>387</v>
      </c>
    </row>
    <row r="20" spans="1:13" x14ac:dyDescent="0.35">
      <c r="A20" s="131">
        <v>9</v>
      </c>
      <c r="B20" s="131">
        <v>236</v>
      </c>
      <c r="C20" s="131"/>
      <c r="D20" s="108">
        <f t="shared" si="0"/>
        <v>9</v>
      </c>
      <c r="E20" s="132">
        <f t="shared" si="1"/>
        <v>-4</v>
      </c>
      <c r="I20" s="6">
        <f t="shared" ref="I20:J22" si="2">A13</f>
        <v>2</v>
      </c>
      <c r="J20" s="125">
        <f t="shared" si="2"/>
        <v>214</v>
      </c>
      <c r="K20" s="6"/>
      <c r="L20" s="128">
        <f>B12</f>
        <v>200</v>
      </c>
      <c r="M20" s="128">
        <f>J20-L20</f>
        <v>14</v>
      </c>
    </row>
    <row r="21" spans="1:13" x14ac:dyDescent="0.35">
      <c r="A21" s="131">
        <v>10</v>
      </c>
      <c r="B21" s="131">
        <v>248</v>
      </c>
      <c r="C21" s="131"/>
      <c r="D21" s="108">
        <f t="shared" si="0"/>
        <v>10</v>
      </c>
      <c r="E21" s="132">
        <f t="shared" si="1"/>
        <v>12</v>
      </c>
      <c r="I21" s="6">
        <f t="shared" si="2"/>
        <v>3</v>
      </c>
      <c r="J21" s="125">
        <f t="shared" si="2"/>
        <v>208</v>
      </c>
      <c r="K21" s="128">
        <f>$K$6+$K$7*E13+$K$8*M20</f>
        <v>4.6000000000000014</v>
      </c>
      <c r="L21" s="128">
        <f>J20+K21</f>
        <v>218.6</v>
      </c>
      <c r="M21" s="128">
        <f>J21-L21</f>
        <v>-10.599999999999994</v>
      </c>
    </row>
    <row r="22" spans="1:13" x14ac:dyDescent="0.35">
      <c r="A22" s="131">
        <v>11</v>
      </c>
      <c r="B22" s="131">
        <v>243</v>
      </c>
      <c r="C22" s="131"/>
      <c r="D22" s="108">
        <f t="shared" si="0"/>
        <v>11</v>
      </c>
      <c r="E22" s="132">
        <f t="shared" si="1"/>
        <v>-5</v>
      </c>
      <c r="I22" s="6">
        <f t="shared" si="2"/>
        <v>4</v>
      </c>
      <c r="J22" s="125">
        <f t="shared" si="2"/>
        <v>222</v>
      </c>
      <c r="K22" s="128">
        <f>$K$6+$K$7*E14+$K$8*M21</f>
        <v>2.7499999999999982</v>
      </c>
      <c r="L22" s="128">
        <f>J21+K22</f>
        <v>210.75</v>
      </c>
      <c r="M22" s="128">
        <f>J22-L22</f>
        <v>11.25</v>
      </c>
    </row>
    <row r="23" spans="1:13" x14ac:dyDescent="0.35">
      <c r="A23" s="131">
        <v>12</v>
      </c>
      <c r="B23" s="131">
        <v>257</v>
      </c>
      <c r="C23" s="131"/>
      <c r="D23" s="108">
        <f t="shared" si="0"/>
        <v>12</v>
      </c>
      <c r="E23" s="132">
        <f t="shared" si="1"/>
        <v>14</v>
      </c>
      <c r="I23" s="6">
        <f t="shared" ref="I23:J23" si="3">A16</f>
        <v>5</v>
      </c>
      <c r="J23" s="125">
        <f t="shared" si="3"/>
        <v>218</v>
      </c>
      <c r="K23" s="128">
        <f t="shared" ref="K23:K48" si="4">$K$6+$K$7*E15+$K$8*M22</f>
        <v>5.2875000000000014</v>
      </c>
      <c r="L23" s="128">
        <f t="shared" ref="L23:L48" si="5">J22+K23</f>
        <v>227.28749999999999</v>
      </c>
      <c r="M23" s="128">
        <f t="shared" ref="M23:M48" si="6">J23-L23</f>
        <v>-9.2874999999999943</v>
      </c>
    </row>
    <row r="24" spans="1:13" x14ac:dyDescent="0.35">
      <c r="A24" s="131">
        <v>13</v>
      </c>
      <c r="B24" s="131">
        <v>250</v>
      </c>
      <c r="C24" s="131"/>
      <c r="D24" s="108">
        <f t="shared" si="0"/>
        <v>13</v>
      </c>
      <c r="E24" s="132">
        <f t="shared" si="1"/>
        <v>-7</v>
      </c>
      <c r="I24" s="6">
        <f t="shared" ref="I24:J24" si="7">A17</f>
        <v>6</v>
      </c>
      <c r="J24" s="125">
        <f t="shared" si="7"/>
        <v>231</v>
      </c>
      <c r="K24" s="128">
        <f t="shared" si="4"/>
        <v>3.2218749999999985</v>
      </c>
      <c r="L24" s="128">
        <f t="shared" si="5"/>
        <v>221.22187500000001</v>
      </c>
      <c r="M24" s="128">
        <f t="shared" si="6"/>
        <v>9.7781249999999886</v>
      </c>
    </row>
    <row r="25" spans="1:13" x14ac:dyDescent="0.35">
      <c r="A25" s="131">
        <v>14</v>
      </c>
      <c r="B25" s="131">
        <v>265</v>
      </c>
      <c r="C25" s="131"/>
      <c r="D25" s="108">
        <f t="shared" si="0"/>
        <v>14</v>
      </c>
      <c r="E25" s="132">
        <f t="shared" si="1"/>
        <v>15</v>
      </c>
      <c r="I25" s="6">
        <f t="shared" ref="I25:J25" si="8">A18</f>
        <v>7</v>
      </c>
      <c r="J25" s="125">
        <f t="shared" si="8"/>
        <v>225</v>
      </c>
      <c r="K25" s="128">
        <f t="shared" si="4"/>
        <v>5.255468750000003</v>
      </c>
      <c r="L25" s="128">
        <f t="shared" si="5"/>
        <v>236.25546875000001</v>
      </c>
      <c r="M25" s="128">
        <f t="shared" si="6"/>
        <v>-11.255468750000006</v>
      </c>
    </row>
    <row r="26" spans="1:13" x14ac:dyDescent="0.35">
      <c r="A26" s="131">
        <v>15</v>
      </c>
      <c r="B26" s="131">
        <v>260</v>
      </c>
      <c r="C26" s="131"/>
      <c r="D26" s="108">
        <f t="shared" si="0"/>
        <v>15</v>
      </c>
      <c r="E26" s="132">
        <f t="shared" si="1"/>
        <v>-5</v>
      </c>
      <c r="I26" s="6">
        <f t="shared" ref="I26:J26" si="9">A19</f>
        <v>8</v>
      </c>
      <c r="J26" s="125">
        <f t="shared" si="9"/>
        <v>240</v>
      </c>
      <c r="K26" s="128">
        <f t="shared" si="4"/>
        <v>2.9138671875000011</v>
      </c>
      <c r="L26" s="128">
        <f t="shared" si="5"/>
        <v>227.91386718749999</v>
      </c>
      <c r="M26" s="128">
        <f t="shared" si="6"/>
        <v>12.086132812500011</v>
      </c>
    </row>
    <row r="27" spans="1:13" x14ac:dyDescent="0.35">
      <c r="A27" s="131">
        <v>16</v>
      </c>
      <c r="B27" s="131">
        <v>273</v>
      </c>
      <c r="C27" s="131"/>
      <c r="D27" s="108">
        <f t="shared" si="0"/>
        <v>16</v>
      </c>
      <c r="E27" s="132">
        <f t="shared" si="1"/>
        <v>13</v>
      </c>
      <c r="I27" s="6">
        <f t="shared" ref="I27:J27" si="10">A20</f>
        <v>9</v>
      </c>
      <c r="J27" s="125">
        <f t="shared" si="10"/>
        <v>236</v>
      </c>
      <c r="K27" s="128">
        <f t="shared" si="4"/>
        <v>5.4784667968749972</v>
      </c>
      <c r="L27" s="128">
        <f t="shared" si="5"/>
        <v>245.47846679687501</v>
      </c>
      <c r="M27" s="128">
        <f t="shared" si="6"/>
        <v>-9.4784667968750114</v>
      </c>
    </row>
    <row r="28" spans="1:13" x14ac:dyDescent="0.35">
      <c r="A28" s="131">
        <v>17</v>
      </c>
      <c r="B28" s="131">
        <v>268</v>
      </c>
      <c r="C28" s="131"/>
      <c r="D28" s="108">
        <f t="shared" si="0"/>
        <v>17</v>
      </c>
      <c r="E28" s="132">
        <f t="shared" si="1"/>
        <v>-5</v>
      </c>
      <c r="I28" s="6">
        <f t="shared" ref="I28:J28" si="11">A21</f>
        <v>10</v>
      </c>
      <c r="J28" s="125">
        <f t="shared" si="11"/>
        <v>248</v>
      </c>
      <c r="K28" s="128">
        <f t="shared" si="4"/>
        <v>3.2696166992187528</v>
      </c>
      <c r="L28" s="128">
        <f t="shared" si="5"/>
        <v>239.26961669921874</v>
      </c>
      <c r="M28" s="128">
        <f t="shared" si="6"/>
        <v>8.7303833007812557</v>
      </c>
    </row>
    <row r="29" spans="1:13" x14ac:dyDescent="0.35">
      <c r="A29" s="131">
        <v>18</v>
      </c>
      <c r="B29" s="131">
        <v>282</v>
      </c>
      <c r="C29" s="131"/>
      <c r="D29" s="108">
        <f t="shared" si="0"/>
        <v>18</v>
      </c>
      <c r="E29" s="132">
        <f t="shared" si="1"/>
        <v>14</v>
      </c>
      <c r="I29" s="6">
        <f t="shared" ref="I29:J29" si="12">A22</f>
        <v>11</v>
      </c>
      <c r="J29" s="125">
        <f t="shared" si="12"/>
        <v>243</v>
      </c>
      <c r="K29" s="128">
        <f t="shared" si="4"/>
        <v>5.1174041748046868</v>
      </c>
      <c r="L29" s="128">
        <f t="shared" si="5"/>
        <v>253.11740417480468</v>
      </c>
      <c r="M29" s="128">
        <f t="shared" si="6"/>
        <v>-10.117404174804676</v>
      </c>
    </row>
    <row r="30" spans="1:13" x14ac:dyDescent="0.35">
      <c r="A30" s="131">
        <v>19</v>
      </c>
      <c r="B30" s="131">
        <v>276</v>
      </c>
      <c r="C30" s="131"/>
      <c r="D30" s="108">
        <f t="shared" si="0"/>
        <v>19</v>
      </c>
      <c r="E30" s="132">
        <f t="shared" si="1"/>
        <v>-6</v>
      </c>
      <c r="I30" s="6">
        <f t="shared" ref="I30:J30" si="13">A23</f>
        <v>12</v>
      </c>
      <c r="J30" s="125">
        <f t="shared" si="13"/>
        <v>257</v>
      </c>
      <c r="K30" s="128">
        <f t="shared" si="4"/>
        <v>3.029351043701169</v>
      </c>
      <c r="L30" s="128">
        <f t="shared" si="5"/>
        <v>246.02935104370118</v>
      </c>
      <c r="M30" s="128">
        <f t="shared" si="6"/>
        <v>10.970648956298817</v>
      </c>
    </row>
    <row r="31" spans="1:13" x14ac:dyDescent="0.35">
      <c r="A31" s="131">
        <v>20</v>
      </c>
      <c r="B31" s="131">
        <v>290</v>
      </c>
      <c r="C31" s="131"/>
      <c r="D31" s="108">
        <f t="shared" si="0"/>
        <v>20</v>
      </c>
      <c r="E31" s="132">
        <f t="shared" si="1"/>
        <v>14</v>
      </c>
      <c r="I31" s="6">
        <f t="shared" ref="I31:J31" si="14">A24</f>
        <v>13</v>
      </c>
      <c r="J31" s="125">
        <f t="shared" si="14"/>
        <v>250</v>
      </c>
      <c r="K31" s="128">
        <f t="shared" si="4"/>
        <v>5.3573377609252972</v>
      </c>
      <c r="L31" s="128">
        <f t="shared" si="5"/>
        <v>262.3573377609253</v>
      </c>
      <c r="M31" s="128">
        <f t="shared" si="6"/>
        <v>-12.357337760925304</v>
      </c>
    </row>
    <row r="32" spans="1:13" x14ac:dyDescent="0.35">
      <c r="A32" s="131">
        <v>21</v>
      </c>
      <c r="B32" s="131">
        <v>285</v>
      </c>
      <c r="C32" s="131"/>
      <c r="D32" s="108">
        <f t="shared" si="0"/>
        <v>21</v>
      </c>
      <c r="E32" s="132">
        <f t="shared" si="1"/>
        <v>-5</v>
      </c>
      <c r="I32" s="6">
        <f t="shared" ref="I32:J32" si="15">A25</f>
        <v>14</v>
      </c>
      <c r="J32" s="125">
        <f t="shared" si="15"/>
        <v>265</v>
      </c>
      <c r="K32" s="128">
        <f t="shared" si="4"/>
        <v>2.7893344402313258</v>
      </c>
      <c r="L32" s="128">
        <f t="shared" si="5"/>
        <v>252.78933444023133</v>
      </c>
      <c r="M32" s="128">
        <f t="shared" si="6"/>
        <v>12.210665559768671</v>
      </c>
    </row>
    <row r="33" spans="1:13" x14ac:dyDescent="0.35">
      <c r="A33" s="131">
        <v>22</v>
      </c>
      <c r="B33" s="131">
        <v>298</v>
      </c>
      <c r="C33" s="131"/>
      <c r="D33" s="108">
        <f t="shared" si="0"/>
        <v>22</v>
      </c>
      <c r="E33" s="132">
        <f t="shared" si="1"/>
        <v>13</v>
      </c>
      <c r="I33" s="6">
        <f t="shared" ref="I33:J33" si="16">A26</f>
        <v>15</v>
      </c>
      <c r="J33" s="125">
        <f t="shared" si="16"/>
        <v>260</v>
      </c>
      <c r="K33" s="128">
        <f t="shared" si="4"/>
        <v>5.4473336100578322</v>
      </c>
      <c r="L33" s="128">
        <f t="shared" si="5"/>
        <v>270.44733361005785</v>
      </c>
      <c r="M33" s="128">
        <f t="shared" si="6"/>
        <v>-10.447333610057854</v>
      </c>
    </row>
    <row r="34" spans="1:13" x14ac:dyDescent="0.35">
      <c r="A34" s="131">
        <v>23</v>
      </c>
      <c r="B34" s="131">
        <v>292</v>
      </c>
      <c r="C34" s="131"/>
      <c r="D34" s="108">
        <f t="shared" si="0"/>
        <v>23</v>
      </c>
      <c r="E34" s="132">
        <f t="shared" si="1"/>
        <v>-6</v>
      </c>
      <c r="I34" s="6">
        <f t="shared" ref="I34:J34" si="17">A27</f>
        <v>16</v>
      </c>
      <c r="J34" s="125">
        <f t="shared" si="17"/>
        <v>273</v>
      </c>
      <c r="K34" s="128">
        <f t="shared" si="4"/>
        <v>3.1118334025144634</v>
      </c>
      <c r="L34" s="128">
        <f t="shared" si="5"/>
        <v>263.11183340251443</v>
      </c>
      <c r="M34" s="128">
        <f t="shared" si="6"/>
        <v>9.888166597485565</v>
      </c>
    </row>
    <row r="35" spans="1:13" x14ac:dyDescent="0.35">
      <c r="A35" s="131">
        <v>24</v>
      </c>
      <c r="B35" s="131">
        <v>305</v>
      </c>
      <c r="C35" s="131"/>
      <c r="D35" s="108">
        <f t="shared" si="0"/>
        <v>24</v>
      </c>
      <c r="E35" s="132">
        <f t="shared" si="1"/>
        <v>13</v>
      </c>
      <c r="I35" s="6">
        <f t="shared" ref="I35:J35" si="18">A28</f>
        <v>17</v>
      </c>
      <c r="J35" s="125">
        <f t="shared" si="18"/>
        <v>268</v>
      </c>
      <c r="K35" s="128">
        <f t="shared" si="4"/>
        <v>5.2279583506286089</v>
      </c>
      <c r="L35" s="128">
        <f t="shared" si="5"/>
        <v>278.22795835062863</v>
      </c>
      <c r="M35" s="128">
        <f t="shared" si="6"/>
        <v>-10.227958350628626</v>
      </c>
    </row>
    <row r="36" spans="1:13" x14ac:dyDescent="0.35">
      <c r="A36" s="131">
        <v>25</v>
      </c>
      <c r="B36" s="131">
        <v>300</v>
      </c>
      <c r="C36" s="131"/>
      <c r="D36" s="108">
        <f t="shared" si="0"/>
        <v>25</v>
      </c>
      <c r="E36" s="132">
        <f t="shared" si="1"/>
        <v>-5</v>
      </c>
      <c r="I36" s="6">
        <f t="shared" ref="I36:J36" si="19">A29</f>
        <v>18</v>
      </c>
      <c r="J36" s="125">
        <f t="shared" si="19"/>
        <v>282</v>
      </c>
      <c r="K36" s="128">
        <f t="shared" si="4"/>
        <v>3.0569895876571564</v>
      </c>
      <c r="L36" s="128">
        <f t="shared" si="5"/>
        <v>271.05698958765714</v>
      </c>
      <c r="M36" s="128">
        <f t="shared" si="6"/>
        <v>10.943010412342858</v>
      </c>
    </row>
    <row r="37" spans="1:13" x14ac:dyDescent="0.35">
      <c r="A37" s="131">
        <v>26</v>
      </c>
      <c r="B37" s="131">
        <v>314</v>
      </c>
      <c r="C37" s="131"/>
      <c r="D37" s="108">
        <f t="shared" si="0"/>
        <v>26</v>
      </c>
      <c r="E37" s="132">
        <f t="shared" si="1"/>
        <v>14</v>
      </c>
      <c r="I37" s="6">
        <f t="shared" ref="I37:J37" si="20">A30</f>
        <v>19</v>
      </c>
      <c r="J37" s="125">
        <f t="shared" si="20"/>
        <v>276</v>
      </c>
      <c r="K37" s="128">
        <f t="shared" si="4"/>
        <v>5.364247396914287</v>
      </c>
      <c r="L37" s="128">
        <f t="shared" si="5"/>
        <v>287.36424739691427</v>
      </c>
      <c r="M37" s="128">
        <f t="shared" si="6"/>
        <v>-11.364247396914266</v>
      </c>
    </row>
    <row r="38" spans="1:13" x14ac:dyDescent="0.35">
      <c r="A38" s="131">
        <v>27</v>
      </c>
      <c r="B38" s="131">
        <v>308</v>
      </c>
      <c r="C38" s="131"/>
      <c r="D38" s="108">
        <f t="shared" si="0"/>
        <v>27</v>
      </c>
      <c r="E38" s="132">
        <f t="shared" si="1"/>
        <v>-6</v>
      </c>
      <c r="I38" s="6">
        <f t="shared" ref="I38:J38" si="21">A31</f>
        <v>20</v>
      </c>
      <c r="J38" s="125">
        <f t="shared" si="21"/>
        <v>290</v>
      </c>
      <c r="K38" s="128">
        <f t="shared" si="4"/>
        <v>2.9410618492285661</v>
      </c>
      <c r="L38" s="128">
        <f t="shared" si="5"/>
        <v>278.94106184922856</v>
      </c>
      <c r="M38" s="128">
        <f t="shared" si="6"/>
        <v>11.058938150771439</v>
      </c>
    </row>
    <row r="39" spans="1:13" x14ac:dyDescent="0.35">
      <c r="A39" s="131">
        <v>28</v>
      </c>
      <c r="B39" s="131">
        <v>322</v>
      </c>
      <c r="C39" s="131"/>
      <c r="D39" s="108">
        <f t="shared" si="0"/>
        <v>28</v>
      </c>
      <c r="E39" s="132">
        <f t="shared" si="1"/>
        <v>14</v>
      </c>
      <c r="I39" s="6">
        <f t="shared" ref="I39:J39" si="22">A32</f>
        <v>21</v>
      </c>
      <c r="J39" s="125">
        <f t="shared" si="22"/>
        <v>285</v>
      </c>
      <c r="K39" s="128">
        <f t="shared" si="4"/>
        <v>5.3352654623071416</v>
      </c>
      <c r="L39" s="128">
        <f t="shared" si="5"/>
        <v>295.33526546230712</v>
      </c>
      <c r="M39" s="128">
        <f t="shared" si="6"/>
        <v>-10.33526546230712</v>
      </c>
    </row>
    <row r="40" spans="1:13" x14ac:dyDescent="0.35">
      <c r="A40" s="131">
        <v>29</v>
      </c>
      <c r="B40" s="131">
        <v>316</v>
      </c>
      <c r="C40" s="131"/>
      <c r="D40" s="108">
        <f t="shared" si="0"/>
        <v>29</v>
      </c>
      <c r="E40" s="132">
        <f t="shared" si="1"/>
        <v>-6</v>
      </c>
      <c r="I40" s="6">
        <f t="shared" ref="I40:J40" si="23">A33</f>
        <v>22</v>
      </c>
      <c r="J40" s="125">
        <f t="shared" si="23"/>
        <v>298</v>
      </c>
      <c r="K40" s="128">
        <f t="shared" si="4"/>
        <v>3.0838163655767801</v>
      </c>
      <c r="L40" s="128">
        <f t="shared" si="5"/>
        <v>288.08381636557681</v>
      </c>
      <c r="M40" s="128">
        <f t="shared" si="6"/>
        <v>9.9161836344231915</v>
      </c>
    </row>
    <row r="41" spans="1:13" x14ac:dyDescent="0.35">
      <c r="A41" s="131">
        <v>30</v>
      </c>
      <c r="B41" s="131">
        <v>330</v>
      </c>
      <c r="C41" s="131"/>
      <c r="D41" s="108">
        <f t="shared" si="0"/>
        <v>30</v>
      </c>
      <c r="E41" s="132">
        <f t="shared" si="1"/>
        <v>14</v>
      </c>
      <c r="I41" s="6">
        <f t="shared" ref="I41:J41" si="24">A34</f>
        <v>23</v>
      </c>
      <c r="J41" s="125">
        <f t="shared" si="24"/>
        <v>292</v>
      </c>
      <c r="K41" s="128">
        <f t="shared" si="4"/>
        <v>5.2209540913942023</v>
      </c>
      <c r="L41" s="128">
        <f t="shared" si="5"/>
        <v>303.22095409139422</v>
      </c>
      <c r="M41" s="128">
        <f t="shared" si="6"/>
        <v>-11.220954091394219</v>
      </c>
    </row>
    <row r="42" spans="1:13" x14ac:dyDescent="0.35">
      <c r="I42" s="6">
        <f t="shared" ref="I42:J42" si="25">A35</f>
        <v>24</v>
      </c>
      <c r="J42" s="125">
        <f t="shared" si="25"/>
        <v>305</v>
      </c>
      <c r="K42" s="128">
        <f t="shared" si="4"/>
        <v>2.9052385228485544</v>
      </c>
      <c r="L42" s="128">
        <f t="shared" si="5"/>
        <v>294.90523852284855</v>
      </c>
      <c r="M42" s="128">
        <f t="shared" si="6"/>
        <v>10.094761477151451</v>
      </c>
    </row>
    <row r="43" spans="1:13" x14ac:dyDescent="0.35">
      <c r="D43" s="13" t="s">
        <v>368</v>
      </c>
      <c r="E43" s="126">
        <f>AVERAGE(E13:E41)</f>
        <v>4.4827586206896548</v>
      </c>
      <c r="F43" s="44" t="s">
        <v>369</v>
      </c>
      <c r="I43" s="6">
        <f t="shared" ref="I43:J43" si="26">A36</f>
        <v>25</v>
      </c>
      <c r="J43" s="125">
        <f t="shared" si="26"/>
        <v>300</v>
      </c>
      <c r="K43" s="128">
        <f t="shared" si="4"/>
        <v>5.1763096307121375</v>
      </c>
      <c r="L43" s="128">
        <f t="shared" si="5"/>
        <v>310.17630963071213</v>
      </c>
      <c r="M43" s="128">
        <f t="shared" si="6"/>
        <v>-10.176309630712126</v>
      </c>
    </row>
    <row r="44" spans="1:13" x14ac:dyDescent="0.35">
      <c r="D44" s="13" t="s">
        <v>370</v>
      </c>
      <c r="E44" s="127">
        <f>STDEV(E13:E41)</f>
        <v>9.7783313273174599</v>
      </c>
      <c r="F44" s="44" t="s">
        <v>371</v>
      </c>
      <c r="I44" s="6">
        <f t="shared" ref="I44:J44" si="27">A37</f>
        <v>26</v>
      </c>
      <c r="J44" s="125">
        <f t="shared" si="27"/>
        <v>314</v>
      </c>
      <c r="K44" s="128">
        <f t="shared" si="4"/>
        <v>3.0440774076780315</v>
      </c>
      <c r="L44" s="128">
        <f t="shared" si="5"/>
        <v>303.04407740767806</v>
      </c>
      <c r="M44" s="128">
        <f t="shared" si="6"/>
        <v>10.95592259232194</v>
      </c>
    </row>
    <row r="45" spans="1:13" x14ac:dyDescent="0.35">
      <c r="I45" s="6">
        <f t="shared" ref="I45:J45" si="28">A38</f>
        <v>27</v>
      </c>
      <c r="J45" s="125">
        <f t="shared" si="28"/>
        <v>308</v>
      </c>
      <c r="K45" s="128">
        <f t="shared" si="4"/>
        <v>5.3610193519195164</v>
      </c>
      <c r="L45" s="128">
        <f t="shared" si="5"/>
        <v>319.36101935191954</v>
      </c>
      <c r="M45" s="128">
        <f t="shared" si="6"/>
        <v>-11.361019351919538</v>
      </c>
    </row>
    <row r="46" spans="1:13" x14ac:dyDescent="0.35">
      <c r="I46" s="6">
        <f t="shared" ref="I46:J46" si="29">A39</f>
        <v>28</v>
      </c>
      <c r="J46" s="125">
        <f t="shared" si="29"/>
        <v>322</v>
      </c>
      <c r="K46" s="128">
        <f t="shared" si="4"/>
        <v>2.9402548379798841</v>
      </c>
      <c r="L46" s="128">
        <f t="shared" si="5"/>
        <v>310.94025483797986</v>
      </c>
      <c r="M46" s="128">
        <f t="shared" si="6"/>
        <v>11.059745162020135</v>
      </c>
    </row>
    <row r="47" spans="1:13" x14ac:dyDescent="0.35">
      <c r="A47" s="112" t="s">
        <v>388</v>
      </c>
      <c r="B47" s="113"/>
      <c r="C47" s="113"/>
      <c r="D47" s="113"/>
      <c r="E47" s="113"/>
      <c r="F47" s="113"/>
      <c r="G47" s="113"/>
      <c r="I47" s="6">
        <f t="shared" ref="I47:J47" si="30">A40</f>
        <v>29</v>
      </c>
      <c r="J47" s="125">
        <f t="shared" si="30"/>
        <v>316</v>
      </c>
      <c r="K47" s="128">
        <f t="shared" si="4"/>
        <v>5.3350637094949676</v>
      </c>
      <c r="L47" s="128">
        <f t="shared" si="5"/>
        <v>327.33506370949499</v>
      </c>
      <c r="M47" s="128">
        <f t="shared" si="6"/>
        <v>-11.335063709494989</v>
      </c>
    </row>
    <row r="48" spans="1:13" x14ac:dyDescent="0.35">
      <c r="A48" s="124" t="s">
        <v>361</v>
      </c>
      <c r="B48" s="124" t="s">
        <v>389</v>
      </c>
      <c r="C48" s="124" t="s">
        <v>386</v>
      </c>
      <c r="D48" s="136" t="s">
        <v>390</v>
      </c>
      <c r="I48" s="6">
        <f t="shared" ref="I48:J48" si="31">A41</f>
        <v>30</v>
      </c>
      <c r="J48" s="125">
        <f t="shared" si="31"/>
        <v>330</v>
      </c>
      <c r="K48" s="128">
        <f t="shared" si="4"/>
        <v>2.9337659273737469</v>
      </c>
      <c r="L48" s="128">
        <f t="shared" si="5"/>
        <v>318.93376592737377</v>
      </c>
      <c r="M48" s="128">
        <f t="shared" si="6"/>
        <v>11.06623407262623</v>
      </c>
    </row>
    <row r="49" spans="1:5" ht="150" x14ac:dyDescent="0.35">
      <c r="A49" s="137">
        <v>31</v>
      </c>
      <c r="B49" s="134">
        <f>B41+C49</f>
        <v>335.33344148184347</v>
      </c>
      <c r="C49" s="128">
        <f>$K$6+$K$7*(B41-B40)+$K$8*M48</f>
        <v>5.3334414818434439</v>
      </c>
      <c r="D49" s="142" t="s">
        <v>391</v>
      </c>
    </row>
    <row r="50" spans="1:5" ht="150" x14ac:dyDescent="0.35">
      <c r="A50" s="137">
        <v>32</v>
      </c>
      <c r="B50" s="134">
        <f>B49+C50</f>
        <v>339.96681807458083</v>
      </c>
      <c r="C50" s="128">
        <f>$K$6+$K$7*(B49-B41)+$K$8*0</f>
        <v>4.6333765927373864</v>
      </c>
      <c r="D50" s="143" t="s">
        <v>392</v>
      </c>
    </row>
    <row r="51" spans="1:5" ht="150" x14ac:dyDescent="0.35">
      <c r="A51" s="137">
        <v>33</v>
      </c>
      <c r="B51" s="134">
        <f>B50+C51</f>
        <v>344.32016871167576</v>
      </c>
      <c r="C51" s="128">
        <f>$K$6+$K$7*(B50-B49)+$K$8*0</f>
        <v>4.3533506370949455</v>
      </c>
      <c r="D51" s="143" t="s">
        <v>393</v>
      </c>
    </row>
    <row r="52" spans="1:5" ht="210" x14ac:dyDescent="0.35">
      <c r="A52" s="137">
        <v>34</v>
      </c>
      <c r="B52" s="134">
        <f>B51+C52</f>
        <v>348.56150896651371</v>
      </c>
      <c r="C52" s="128">
        <f>$K$6+$K$7*(B51-B50)+$K$8*0</f>
        <v>4.2413402548379739</v>
      </c>
      <c r="D52" s="143" t="s">
        <v>394</v>
      </c>
    </row>
    <row r="54" spans="1:5" x14ac:dyDescent="0.35">
      <c r="A54" s="112" t="s">
        <v>395</v>
      </c>
      <c r="B54" s="113"/>
      <c r="C54" s="113"/>
      <c r="D54" s="113"/>
      <c r="E54" s="113"/>
    </row>
    <row r="55" spans="1:5" x14ac:dyDescent="0.35">
      <c r="A55" s="136" t="s">
        <v>396</v>
      </c>
      <c r="B55" s="124" t="s">
        <v>113</v>
      </c>
      <c r="C55" s="136" t="s">
        <v>397</v>
      </c>
    </row>
    <row r="56" spans="1:5" x14ac:dyDescent="0.35">
      <c r="A56" s="1" t="s">
        <v>398</v>
      </c>
      <c r="B56" s="135">
        <f>AVERAGE(M20:M48)</f>
        <v>0.49808926353302863</v>
      </c>
      <c r="C56" s="44" t="s">
        <v>399</v>
      </c>
    </row>
    <row r="57" spans="1:5" x14ac:dyDescent="0.35">
      <c r="A57" s="1" t="s">
        <v>400</v>
      </c>
      <c r="B57" s="135">
        <f>AVERAGE(ABS(M20),ABS(M21),ABS(M22),ABS(M23),ABS(M24),ABS(M25),ABS(M26),ABS(M27),ABS(M28),ABS(M29),ABS(M30),ABS(M31),ABS(M32),ABS(M33),ABS(M34),ABS(M35),ABS(M36),ABS(M37),ABS(M38),ABS(M39),ABS(M40),ABS(M41),ABS(M42),ABS(M43),ABS(M44),ABS(M45),ABS(M46),ABS(M47),ABS(M48))</f>
        <v>10.812870579811216</v>
      </c>
      <c r="C57" s="44" t="s">
        <v>401</v>
      </c>
    </row>
    <row r="58" spans="1:5" x14ac:dyDescent="0.35">
      <c r="A58" s="1" t="s">
        <v>402</v>
      </c>
      <c r="B58" s="135">
        <f>SQRT(SUMPRODUCT(M20:M48,M20:M48)/COUNT(M20:M48))</f>
        <v>10.862386042057713</v>
      </c>
      <c r="C58" s="44" t="s">
        <v>403</v>
      </c>
    </row>
    <row r="60" spans="1:5" x14ac:dyDescent="0.35">
      <c r="A60" s="35" t="s">
        <v>404</v>
      </c>
      <c r="B60" s="36"/>
      <c r="C60" s="36"/>
      <c r="D60" s="36"/>
      <c r="E60" s="36"/>
    </row>
    <row r="62" spans="1:5" x14ac:dyDescent="0.35">
      <c r="A62" s="145" t="s">
        <v>405</v>
      </c>
    </row>
    <row r="63" spans="1:5" x14ac:dyDescent="0.35">
      <c r="A63" s="145" t="s">
        <v>406</v>
      </c>
    </row>
    <row r="64" spans="1:5" x14ac:dyDescent="0.35">
      <c r="A64" s="145" t="s">
        <v>407</v>
      </c>
    </row>
    <row r="65" spans="1:1" x14ac:dyDescent="0.35">
      <c r="A65" s="138" t="s">
        <v>408</v>
      </c>
    </row>
    <row r="66" spans="1:1" x14ac:dyDescent="0.35">
      <c r="A66" s="138" t="s">
        <v>409</v>
      </c>
    </row>
    <row r="68" spans="1:1" x14ac:dyDescent="0.35">
      <c r="A68" s="146" t="s">
        <v>102</v>
      </c>
    </row>
  </sheetData>
  <mergeCells count="3">
    <mergeCell ref="A1:G1"/>
    <mergeCell ref="I11:L11"/>
    <mergeCell ref="I17:M17"/>
  </mergeCells>
  <hyperlinks>
    <hyperlink ref="A68" location="'TOC'!A1" display="← Back to Table of Contents" xr:uid="{C874ED91-8D59-B94A-AD92-A26D208B2DC7}"/>
  </hyperlink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C636-F74A-6D46-BC4D-80BDC06D6326}">
  <sheetPr>
    <tabColor rgb="FF00B050"/>
  </sheetPr>
  <dimension ref="A1:K75"/>
  <sheetViews>
    <sheetView topLeftCell="A12" workbookViewId="0">
      <selection activeCell="C53" sqref="C53"/>
    </sheetView>
  </sheetViews>
  <sheetFormatPr baseColWidth="10" defaultColWidth="19" defaultRowHeight="29" x14ac:dyDescent="0.35"/>
  <cols>
    <col min="1" max="16384" width="19" style="1"/>
  </cols>
  <sheetData>
    <row r="1" spans="1:11" x14ac:dyDescent="0.35">
      <c r="A1" s="270" t="s">
        <v>410</v>
      </c>
      <c r="B1" s="270"/>
      <c r="C1" s="270"/>
      <c r="D1" s="270"/>
      <c r="E1" s="270"/>
      <c r="F1" s="270"/>
      <c r="G1" s="270"/>
    </row>
    <row r="3" spans="1:11" x14ac:dyDescent="0.35">
      <c r="A3" s="147" t="s">
        <v>351</v>
      </c>
      <c r="B3" s="148"/>
      <c r="C3" s="148"/>
      <c r="D3" s="148"/>
      <c r="E3" s="148"/>
      <c r="F3" s="148"/>
      <c r="G3" s="148"/>
    </row>
    <row r="5" spans="1:11" x14ac:dyDescent="0.35">
      <c r="A5" s="13" t="s">
        <v>352</v>
      </c>
      <c r="B5" s="1" t="s">
        <v>411</v>
      </c>
    </row>
    <row r="6" spans="1:11" x14ac:dyDescent="0.35">
      <c r="A6" s="13" t="s">
        <v>354</v>
      </c>
      <c r="B6" s="1" t="s">
        <v>412</v>
      </c>
    </row>
    <row r="7" spans="1:11" x14ac:dyDescent="0.35">
      <c r="A7" s="13" t="s">
        <v>356</v>
      </c>
      <c r="B7" s="1" t="s">
        <v>413</v>
      </c>
    </row>
    <row r="8" spans="1:11" x14ac:dyDescent="0.35">
      <c r="A8" s="13" t="s">
        <v>358</v>
      </c>
      <c r="B8" s="1" t="s">
        <v>414</v>
      </c>
    </row>
    <row r="9" spans="1:11" x14ac:dyDescent="0.35">
      <c r="A9" s="149" t="s">
        <v>415</v>
      </c>
      <c r="B9" s="13" t="s">
        <v>416</v>
      </c>
    </row>
    <row r="11" spans="1:11" x14ac:dyDescent="0.35">
      <c r="A11" s="147" t="s">
        <v>417</v>
      </c>
      <c r="B11" s="148"/>
      <c r="C11" s="148"/>
      <c r="D11" s="148"/>
      <c r="E11" s="148"/>
      <c r="F11" s="148"/>
      <c r="G11" s="148"/>
      <c r="H11" s="147" t="s">
        <v>423</v>
      </c>
      <c r="I11" s="148"/>
      <c r="J11" s="148"/>
      <c r="K11" s="148"/>
    </row>
    <row r="12" spans="1:11" ht="90" x14ac:dyDescent="0.35">
      <c r="A12" s="165" t="s">
        <v>106</v>
      </c>
      <c r="B12" s="165" t="s">
        <v>418</v>
      </c>
      <c r="C12" s="165" t="s">
        <v>419</v>
      </c>
      <c r="D12" s="165" t="s">
        <v>420</v>
      </c>
      <c r="E12" s="165" t="s">
        <v>421</v>
      </c>
      <c r="F12" s="165" t="s">
        <v>422</v>
      </c>
      <c r="G12" s="165"/>
      <c r="H12" s="165" t="s">
        <v>106</v>
      </c>
      <c r="I12" s="165" t="s">
        <v>424</v>
      </c>
      <c r="J12" s="165" t="s">
        <v>155</v>
      </c>
      <c r="K12" s="165" t="s">
        <v>425</v>
      </c>
    </row>
    <row r="13" spans="1:11" x14ac:dyDescent="0.35">
      <c r="A13" s="38">
        <v>46044</v>
      </c>
      <c r="B13" s="1">
        <v>112</v>
      </c>
      <c r="H13" s="1" t="s">
        <v>426</v>
      </c>
      <c r="I13" s="128">
        <f t="shared" ref="I13:I24" si="0">AVERAGE(B13,B25,B37)</f>
        <v>120</v>
      </c>
      <c r="J13" s="150">
        <f>I13/AVERAGE($I$13:$I$24)</f>
        <v>0.87555735711390359</v>
      </c>
      <c r="K13" s="133" t="s">
        <v>427</v>
      </c>
    </row>
    <row r="14" spans="1:11" x14ac:dyDescent="0.35">
      <c r="A14" s="38">
        <v>46075</v>
      </c>
      <c r="B14" s="1">
        <v>118</v>
      </c>
      <c r="C14" s="125">
        <f>B14-B13</f>
        <v>6</v>
      </c>
      <c r="E14" s="151">
        <f>(B14-B13)/B13</f>
        <v>5.3571428571428568E-2</v>
      </c>
      <c r="H14" s="1" t="s">
        <v>428</v>
      </c>
      <c r="I14" s="128">
        <f t="shared" si="0"/>
        <v>126.33333333333333</v>
      </c>
      <c r="J14" s="150">
        <f t="shared" ref="J14:J24" si="1">I14/AVERAGE($I$13:$I$24)</f>
        <v>0.92176732873935963</v>
      </c>
      <c r="K14" s="133" t="s">
        <v>427</v>
      </c>
    </row>
    <row r="15" spans="1:11" x14ac:dyDescent="0.35">
      <c r="A15" s="38">
        <v>46103</v>
      </c>
      <c r="B15" s="1">
        <v>132</v>
      </c>
      <c r="E15" s="151">
        <f t="shared" ref="E15:E48" si="2">(B15-B14)/B14</f>
        <v>0.11864406779661017</v>
      </c>
      <c r="H15" s="1" t="s">
        <v>429</v>
      </c>
      <c r="I15" s="128">
        <f t="shared" si="0"/>
        <v>141</v>
      </c>
      <c r="J15" s="150">
        <f t="shared" si="1"/>
        <v>1.0287798946088367</v>
      </c>
      <c r="K15" s="152" t="s">
        <v>430</v>
      </c>
    </row>
    <row r="16" spans="1:11" x14ac:dyDescent="0.35">
      <c r="A16" s="38">
        <v>46134</v>
      </c>
      <c r="B16" s="1">
        <v>129</v>
      </c>
      <c r="E16" s="151">
        <f t="shared" si="2"/>
        <v>-2.2727272727272728E-2</v>
      </c>
      <c r="H16" s="1" t="s">
        <v>431</v>
      </c>
      <c r="I16" s="128">
        <f t="shared" si="0"/>
        <v>138.33333333333334</v>
      </c>
      <c r="J16" s="150">
        <f t="shared" si="1"/>
        <v>1.00932306445075</v>
      </c>
      <c r="K16" s="152" t="s">
        <v>430</v>
      </c>
    </row>
    <row r="17" spans="1:11" x14ac:dyDescent="0.35">
      <c r="A17" s="38">
        <v>46164</v>
      </c>
      <c r="B17" s="1">
        <v>121</v>
      </c>
      <c r="E17" s="151">
        <f t="shared" si="2"/>
        <v>-6.2015503875968991E-2</v>
      </c>
      <c r="H17" s="1" t="s">
        <v>432</v>
      </c>
      <c r="I17" s="128">
        <f t="shared" si="0"/>
        <v>130.66666666666666</v>
      </c>
      <c r="J17" s="150">
        <f t="shared" si="1"/>
        <v>0.95338467774625058</v>
      </c>
      <c r="K17" s="43" t="s">
        <v>433</v>
      </c>
    </row>
    <row r="18" spans="1:11" x14ac:dyDescent="0.35">
      <c r="A18" s="38">
        <v>46195</v>
      </c>
      <c r="B18" s="1">
        <v>135</v>
      </c>
      <c r="E18" s="151">
        <f t="shared" si="2"/>
        <v>0.11570247933884298</v>
      </c>
      <c r="H18" s="1" t="s">
        <v>434</v>
      </c>
      <c r="I18" s="128">
        <f t="shared" si="0"/>
        <v>146</v>
      </c>
      <c r="J18" s="150">
        <f t="shared" si="1"/>
        <v>1.0652614511552494</v>
      </c>
      <c r="K18" s="153" t="s">
        <v>435</v>
      </c>
    </row>
    <row r="19" spans="1:11" x14ac:dyDescent="0.35">
      <c r="A19" s="38">
        <v>46225</v>
      </c>
      <c r="B19" s="1">
        <v>148</v>
      </c>
      <c r="E19" s="151">
        <f t="shared" si="2"/>
        <v>9.6296296296296297E-2</v>
      </c>
      <c r="H19" s="1" t="s">
        <v>436</v>
      </c>
      <c r="I19" s="128">
        <f t="shared" si="0"/>
        <v>160</v>
      </c>
      <c r="J19" s="150">
        <f t="shared" si="1"/>
        <v>1.1674098094852048</v>
      </c>
      <c r="K19" s="50" t="s">
        <v>437</v>
      </c>
    </row>
    <row r="20" spans="1:11" x14ac:dyDescent="0.35">
      <c r="A20" s="38">
        <v>46256</v>
      </c>
      <c r="B20" s="1">
        <v>152</v>
      </c>
      <c r="E20" s="151">
        <f t="shared" si="2"/>
        <v>2.7027027027027029E-2</v>
      </c>
      <c r="H20" s="1" t="s">
        <v>438</v>
      </c>
      <c r="I20" s="128">
        <f t="shared" si="0"/>
        <v>165</v>
      </c>
      <c r="J20" s="150">
        <f t="shared" si="1"/>
        <v>1.2038913660316175</v>
      </c>
      <c r="K20" s="50" t="s">
        <v>437</v>
      </c>
    </row>
    <row r="21" spans="1:11" x14ac:dyDescent="0.35">
      <c r="A21" s="38">
        <v>46287</v>
      </c>
      <c r="B21" s="1">
        <v>136</v>
      </c>
      <c r="E21" s="151">
        <f t="shared" si="2"/>
        <v>-0.10526315789473684</v>
      </c>
      <c r="H21" s="1" t="s">
        <v>439</v>
      </c>
      <c r="I21" s="128">
        <f t="shared" si="0"/>
        <v>148.66666666666666</v>
      </c>
      <c r="J21" s="150">
        <f t="shared" si="1"/>
        <v>1.084718281313336</v>
      </c>
      <c r="K21" s="152" t="s">
        <v>440</v>
      </c>
    </row>
    <row r="22" spans="1:11" x14ac:dyDescent="0.35">
      <c r="A22" s="38">
        <v>46317</v>
      </c>
      <c r="B22" s="1">
        <v>119</v>
      </c>
      <c r="E22" s="151">
        <f t="shared" si="2"/>
        <v>-0.125</v>
      </c>
      <c r="H22" s="1" t="s">
        <v>441</v>
      </c>
      <c r="I22" s="128">
        <f t="shared" si="0"/>
        <v>130</v>
      </c>
      <c r="J22" s="150">
        <f t="shared" si="1"/>
        <v>0.94852047020672892</v>
      </c>
      <c r="K22" s="152" t="s">
        <v>440</v>
      </c>
    </row>
    <row r="23" spans="1:11" x14ac:dyDescent="0.35">
      <c r="A23" s="38">
        <v>46348</v>
      </c>
      <c r="B23" s="1">
        <v>104</v>
      </c>
      <c r="E23" s="151">
        <f t="shared" si="2"/>
        <v>-0.12605042016806722</v>
      </c>
      <c r="H23" s="1" t="s">
        <v>442</v>
      </c>
      <c r="I23" s="128">
        <f t="shared" si="0"/>
        <v>112.33333333333333</v>
      </c>
      <c r="J23" s="150">
        <f t="shared" si="1"/>
        <v>0.81961897040940412</v>
      </c>
      <c r="K23" s="133" t="s">
        <v>427</v>
      </c>
    </row>
    <row r="24" spans="1:11" x14ac:dyDescent="0.35">
      <c r="A24" s="38">
        <v>46378</v>
      </c>
      <c r="B24" s="1">
        <v>118</v>
      </c>
      <c r="E24" s="151">
        <f t="shared" si="2"/>
        <v>0.13461538461538461</v>
      </c>
      <c r="H24" s="1" t="s">
        <v>443</v>
      </c>
      <c r="I24" s="128">
        <f t="shared" si="0"/>
        <v>126.33333333333333</v>
      </c>
      <c r="J24" s="150">
        <f t="shared" si="1"/>
        <v>0.92176732873935963</v>
      </c>
      <c r="K24" s="133" t="s">
        <v>444</v>
      </c>
    </row>
    <row r="25" spans="1:11" x14ac:dyDescent="0.35">
      <c r="A25" s="38">
        <v>46045</v>
      </c>
      <c r="B25" s="1">
        <v>120</v>
      </c>
      <c r="D25" s="125">
        <f>B25-B13</f>
        <v>8</v>
      </c>
      <c r="E25" s="151">
        <f t="shared" si="2"/>
        <v>1.6949152542372881E-2</v>
      </c>
      <c r="F25" s="151">
        <f>(B25-B13)/B13</f>
        <v>7.1428571428571425E-2</v>
      </c>
    </row>
    <row r="26" spans="1:11" x14ac:dyDescent="0.35">
      <c r="A26" s="38">
        <v>46076</v>
      </c>
      <c r="B26" s="1">
        <v>126</v>
      </c>
      <c r="D26" s="125">
        <f t="shared" ref="D26:D48" si="3">B26-B14</f>
        <v>8</v>
      </c>
      <c r="E26" s="151">
        <f t="shared" si="2"/>
        <v>0.05</v>
      </c>
      <c r="F26" s="151">
        <f t="shared" ref="F26:F48" si="4">(B26-B14)/B14</f>
        <v>6.7796610169491525E-2</v>
      </c>
      <c r="H26" s="147" t="s">
        <v>445</v>
      </c>
      <c r="I26" s="148"/>
      <c r="J26" s="148"/>
      <c r="K26" s="148"/>
    </row>
    <row r="27" spans="1:11" x14ac:dyDescent="0.35">
      <c r="A27" s="38">
        <v>46104</v>
      </c>
      <c r="B27" s="1">
        <v>141</v>
      </c>
      <c r="D27" s="125">
        <f t="shared" si="3"/>
        <v>9</v>
      </c>
      <c r="E27" s="151">
        <f t="shared" si="2"/>
        <v>0.11904761904761904</v>
      </c>
      <c r="F27" s="151">
        <f t="shared" si="4"/>
        <v>6.8181818181818177E-2</v>
      </c>
    </row>
    <row r="28" spans="1:11" ht="60" x14ac:dyDescent="0.35">
      <c r="A28" s="38">
        <v>46135</v>
      </c>
      <c r="B28" s="1">
        <v>138</v>
      </c>
      <c r="D28" s="125">
        <f t="shared" si="3"/>
        <v>9</v>
      </c>
      <c r="E28" s="151">
        <f t="shared" si="2"/>
        <v>-2.1276595744680851E-2</v>
      </c>
      <c r="F28" s="151">
        <f t="shared" si="4"/>
        <v>6.9767441860465115E-2</v>
      </c>
      <c r="H28" s="154" t="s">
        <v>446</v>
      </c>
      <c r="I28" s="155" t="s">
        <v>113</v>
      </c>
      <c r="J28" s="166" t="s">
        <v>447</v>
      </c>
    </row>
    <row r="29" spans="1:11" ht="180" x14ac:dyDescent="0.35">
      <c r="A29" s="38">
        <v>46165</v>
      </c>
      <c r="B29" s="1">
        <v>131</v>
      </c>
      <c r="D29" s="125">
        <f t="shared" si="3"/>
        <v>10</v>
      </c>
      <c r="E29" s="151">
        <f t="shared" si="2"/>
        <v>-5.0724637681159424E-2</v>
      </c>
      <c r="F29" s="151">
        <f t="shared" si="4"/>
        <v>8.2644628099173556E-2</v>
      </c>
      <c r="H29" s="156" t="s">
        <v>448</v>
      </c>
      <c r="I29" s="157">
        <v>0</v>
      </c>
      <c r="J29" s="167" t="s">
        <v>449</v>
      </c>
    </row>
    <row r="30" spans="1:11" ht="150" x14ac:dyDescent="0.35">
      <c r="A30" s="38">
        <v>46196</v>
      </c>
      <c r="B30" s="1">
        <v>146</v>
      </c>
      <c r="D30" s="125">
        <f t="shared" si="3"/>
        <v>11</v>
      </c>
      <c r="E30" s="151">
        <f t="shared" si="2"/>
        <v>0.11450381679389313</v>
      </c>
      <c r="F30" s="151">
        <f t="shared" si="4"/>
        <v>8.1481481481481488E-2</v>
      </c>
      <c r="H30" s="158" t="s">
        <v>450</v>
      </c>
      <c r="I30" s="159">
        <v>1</v>
      </c>
      <c r="J30" s="168" t="s">
        <v>451</v>
      </c>
    </row>
    <row r="31" spans="1:11" ht="150" x14ac:dyDescent="0.35">
      <c r="A31" s="38">
        <v>46226</v>
      </c>
      <c r="B31" s="1">
        <v>160</v>
      </c>
      <c r="D31" s="125">
        <f t="shared" si="3"/>
        <v>12</v>
      </c>
      <c r="E31" s="151">
        <f t="shared" si="2"/>
        <v>9.5890410958904104E-2</v>
      </c>
      <c r="F31" s="151">
        <f t="shared" si="4"/>
        <v>8.1081081081081086E-2</v>
      </c>
      <c r="H31" s="156" t="s">
        <v>452</v>
      </c>
      <c r="I31" s="157">
        <v>1</v>
      </c>
      <c r="J31" s="167" t="s">
        <v>453</v>
      </c>
    </row>
    <row r="32" spans="1:11" ht="210" x14ac:dyDescent="0.35">
      <c r="A32" s="38">
        <v>46257</v>
      </c>
      <c r="B32" s="1">
        <v>165</v>
      </c>
      <c r="D32" s="125">
        <f t="shared" si="3"/>
        <v>13</v>
      </c>
      <c r="E32" s="151">
        <f t="shared" si="2"/>
        <v>3.125E-2</v>
      </c>
      <c r="F32" s="151">
        <f t="shared" si="4"/>
        <v>8.5526315789473686E-2</v>
      </c>
      <c r="H32" s="158" t="s">
        <v>454</v>
      </c>
      <c r="I32" s="159">
        <v>0</v>
      </c>
      <c r="J32" s="168" t="s">
        <v>455</v>
      </c>
    </row>
    <row r="33" spans="1:10" ht="240" x14ac:dyDescent="0.35">
      <c r="A33" s="38">
        <v>46288</v>
      </c>
      <c r="B33" s="1">
        <v>149</v>
      </c>
      <c r="D33" s="125">
        <f t="shared" si="3"/>
        <v>13</v>
      </c>
      <c r="E33" s="151">
        <f t="shared" si="2"/>
        <v>-9.696969696969697E-2</v>
      </c>
      <c r="F33" s="151">
        <f t="shared" si="4"/>
        <v>9.5588235294117641E-2</v>
      </c>
      <c r="H33" s="156" t="s">
        <v>456</v>
      </c>
      <c r="I33" s="157">
        <v>1</v>
      </c>
      <c r="J33" s="167" t="s">
        <v>457</v>
      </c>
    </row>
    <row r="34" spans="1:10" ht="210" x14ac:dyDescent="0.35">
      <c r="A34" s="38">
        <v>46318</v>
      </c>
      <c r="B34" s="1">
        <v>130</v>
      </c>
      <c r="D34" s="125">
        <f t="shared" si="3"/>
        <v>11</v>
      </c>
      <c r="E34" s="151">
        <f t="shared" si="2"/>
        <v>-0.12751677852348994</v>
      </c>
      <c r="F34" s="151">
        <f t="shared" si="4"/>
        <v>9.2436974789915971E-2</v>
      </c>
      <c r="H34" s="158" t="s">
        <v>458</v>
      </c>
      <c r="I34" s="159">
        <v>1</v>
      </c>
      <c r="J34" s="168" t="s">
        <v>459</v>
      </c>
    </row>
    <row r="35" spans="1:10" ht="240" x14ac:dyDescent="0.35">
      <c r="A35" s="38">
        <v>46349</v>
      </c>
      <c r="B35" s="1">
        <v>112</v>
      </c>
      <c r="D35" s="125">
        <f t="shared" si="3"/>
        <v>8</v>
      </c>
      <c r="E35" s="151">
        <f t="shared" si="2"/>
        <v>-0.13846153846153847</v>
      </c>
      <c r="F35" s="151">
        <f t="shared" si="4"/>
        <v>7.6923076923076927E-2</v>
      </c>
      <c r="H35" s="156" t="s">
        <v>460</v>
      </c>
      <c r="I35" s="157">
        <v>12</v>
      </c>
      <c r="J35" s="167" t="s">
        <v>461</v>
      </c>
    </row>
    <row r="36" spans="1:10" x14ac:dyDescent="0.35">
      <c r="A36" s="38">
        <v>46379</v>
      </c>
      <c r="B36" s="1">
        <v>126</v>
      </c>
      <c r="D36" s="125">
        <f t="shared" si="3"/>
        <v>8</v>
      </c>
      <c r="E36" s="151">
        <f t="shared" si="2"/>
        <v>0.125</v>
      </c>
      <c r="F36" s="151">
        <f t="shared" si="4"/>
        <v>6.7796610169491525E-2</v>
      </c>
    </row>
    <row r="37" spans="1:10" x14ac:dyDescent="0.35">
      <c r="A37" s="38">
        <v>46046</v>
      </c>
      <c r="B37" s="1">
        <v>128</v>
      </c>
      <c r="D37" s="125">
        <f t="shared" si="3"/>
        <v>8</v>
      </c>
      <c r="E37" s="151">
        <f t="shared" si="2"/>
        <v>1.5873015873015872E-2</v>
      </c>
      <c r="F37" s="151">
        <f t="shared" si="4"/>
        <v>6.6666666666666666E-2</v>
      </c>
      <c r="H37" s="149" t="s">
        <v>462</v>
      </c>
    </row>
    <row r="38" spans="1:10" x14ac:dyDescent="0.35">
      <c r="A38" s="38">
        <v>46077</v>
      </c>
      <c r="B38" s="1">
        <v>135</v>
      </c>
      <c r="D38" s="125">
        <f t="shared" si="3"/>
        <v>9</v>
      </c>
      <c r="E38" s="151">
        <f t="shared" si="2"/>
        <v>5.46875E-2</v>
      </c>
      <c r="F38" s="151">
        <f t="shared" si="4"/>
        <v>7.1428571428571425E-2</v>
      </c>
      <c r="H38" s="25" t="s">
        <v>463</v>
      </c>
    </row>
    <row r="39" spans="1:10" ht="31" x14ac:dyDescent="0.4">
      <c r="A39" s="38">
        <v>46105</v>
      </c>
      <c r="B39" s="1">
        <v>150</v>
      </c>
      <c r="D39" s="125">
        <f t="shared" si="3"/>
        <v>9</v>
      </c>
      <c r="E39" s="151">
        <f t="shared" si="2"/>
        <v>0.1111111111111111</v>
      </c>
      <c r="F39" s="151">
        <f t="shared" si="4"/>
        <v>6.3829787234042548E-2</v>
      </c>
      <c r="H39" s="160" t="s">
        <v>464</v>
      </c>
    </row>
    <row r="40" spans="1:10" x14ac:dyDescent="0.35">
      <c r="A40" s="38">
        <v>46136</v>
      </c>
      <c r="B40" s="1">
        <v>148</v>
      </c>
      <c r="D40" s="125">
        <f t="shared" si="3"/>
        <v>10</v>
      </c>
      <c r="E40" s="151">
        <f t="shared" si="2"/>
        <v>-1.3333333333333334E-2</v>
      </c>
      <c r="F40" s="151">
        <f t="shared" si="4"/>
        <v>7.2463768115942032E-2</v>
      </c>
    </row>
    <row r="41" spans="1:10" x14ac:dyDescent="0.35">
      <c r="A41" s="38">
        <v>46166</v>
      </c>
      <c r="B41" s="1">
        <v>140</v>
      </c>
      <c r="D41" s="125">
        <f t="shared" si="3"/>
        <v>9</v>
      </c>
      <c r="E41" s="151">
        <f t="shared" si="2"/>
        <v>-5.4054054054054057E-2</v>
      </c>
      <c r="F41" s="151">
        <f t="shared" si="4"/>
        <v>6.8702290076335881E-2</v>
      </c>
    </row>
    <row r="42" spans="1:10" x14ac:dyDescent="0.35">
      <c r="A42" s="38">
        <v>46197</v>
      </c>
      <c r="B42" s="1">
        <v>157</v>
      </c>
      <c r="D42" s="125">
        <f t="shared" si="3"/>
        <v>11</v>
      </c>
      <c r="E42" s="151">
        <f t="shared" si="2"/>
        <v>0.12142857142857143</v>
      </c>
      <c r="F42" s="151">
        <f t="shared" si="4"/>
        <v>7.5342465753424653E-2</v>
      </c>
    </row>
    <row r="43" spans="1:10" x14ac:dyDescent="0.35">
      <c r="A43" s="38">
        <v>46227</v>
      </c>
      <c r="B43" s="1">
        <v>172</v>
      </c>
      <c r="D43" s="125">
        <f t="shared" si="3"/>
        <v>12</v>
      </c>
      <c r="E43" s="151">
        <f t="shared" si="2"/>
        <v>9.5541401273885357E-2</v>
      </c>
      <c r="F43" s="151">
        <f t="shared" si="4"/>
        <v>7.4999999999999997E-2</v>
      </c>
    </row>
    <row r="44" spans="1:10" x14ac:dyDescent="0.35">
      <c r="A44" s="38">
        <v>46258</v>
      </c>
      <c r="B44" s="1">
        <v>178</v>
      </c>
      <c r="D44" s="125">
        <f t="shared" si="3"/>
        <v>13</v>
      </c>
      <c r="E44" s="151">
        <f t="shared" si="2"/>
        <v>3.4883720930232558E-2</v>
      </c>
      <c r="F44" s="151">
        <f t="shared" si="4"/>
        <v>7.8787878787878782E-2</v>
      </c>
    </row>
    <row r="45" spans="1:10" x14ac:dyDescent="0.35">
      <c r="A45" s="38">
        <v>46289</v>
      </c>
      <c r="B45" s="1">
        <v>161</v>
      </c>
      <c r="D45" s="125">
        <f t="shared" si="3"/>
        <v>12</v>
      </c>
      <c r="E45" s="151">
        <f t="shared" si="2"/>
        <v>-9.5505617977528087E-2</v>
      </c>
      <c r="F45" s="151">
        <f t="shared" si="4"/>
        <v>8.0536912751677847E-2</v>
      </c>
    </row>
    <row r="46" spans="1:10" x14ac:dyDescent="0.35">
      <c r="A46" s="38">
        <v>46319</v>
      </c>
      <c r="B46" s="1">
        <v>141</v>
      </c>
      <c r="D46" s="125">
        <f t="shared" si="3"/>
        <v>11</v>
      </c>
      <c r="E46" s="151">
        <f t="shared" si="2"/>
        <v>-0.12422360248447205</v>
      </c>
      <c r="F46" s="151">
        <f t="shared" si="4"/>
        <v>8.461538461538462E-2</v>
      </c>
    </row>
    <row r="47" spans="1:10" x14ac:dyDescent="0.35">
      <c r="A47" s="38">
        <v>46350</v>
      </c>
      <c r="B47" s="1">
        <v>121</v>
      </c>
      <c r="D47" s="125">
        <f t="shared" si="3"/>
        <v>9</v>
      </c>
      <c r="E47" s="151">
        <f t="shared" si="2"/>
        <v>-0.14184397163120568</v>
      </c>
      <c r="F47" s="151">
        <f t="shared" si="4"/>
        <v>8.0357142857142863E-2</v>
      </c>
    </row>
    <row r="48" spans="1:10" x14ac:dyDescent="0.35">
      <c r="A48" s="38">
        <v>46380</v>
      </c>
      <c r="B48" s="1">
        <v>135</v>
      </c>
      <c r="D48" s="125">
        <f t="shared" si="3"/>
        <v>9</v>
      </c>
      <c r="E48" s="151">
        <f t="shared" si="2"/>
        <v>0.11570247933884298</v>
      </c>
      <c r="F48" s="151">
        <f t="shared" si="4"/>
        <v>7.1428571428571425E-2</v>
      </c>
    </row>
    <row r="50" spans="1:7" x14ac:dyDescent="0.35">
      <c r="A50" s="147" t="s">
        <v>465</v>
      </c>
      <c r="B50" s="148"/>
      <c r="C50" s="148"/>
      <c r="D50" s="148"/>
      <c r="E50" s="148"/>
      <c r="F50" s="148"/>
      <c r="G50" s="148"/>
    </row>
    <row r="51" spans="1:7" ht="90" x14ac:dyDescent="0.35">
      <c r="A51" s="169" t="s">
        <v>106</v>
      </c>
      <c r="B51" s="164" t="s">
        <v>466</v>
      </c>
      <c r="C51" s="164" t="s">
        <v>467</v>
      </c>
      <c r="D51" s="164" t="s">
        <v>169</v>
      </c>
      <c r="E51" s="169" t="s">
        <v>468</v>
      </c>
      <c r="F51" s="169" t="s">
        <v>469</v>
      </c>
    </row>
    <row r="52" spans="1:7" ht="120" x14ac:dyDescent="0.35">
      <c r="A52" s="38">
        <v>46047</v>
      </c>
      <c r="B52" s="6">
        <f t="shared" ref="B52:B63" si="5">B37</f>
        <v>128</v>
      </c>
      <c r="C52" s="151">
        <f t="shared" ref="C52:C59" si="6">AVERAGE((B25-B13)/B13,(B37-B25)/B25)</f>
        <v>6.9047619047619052E-2</v>
      </c>
      <c r="D52" s="162">
        <f t="shared" ref="D52:D63" si="7">B52*(1+C52)</f>
        <v>136.83809523809524</v>
      </c>
      <c r="E52" s="133" t="s">
        <v>470</v>
      </c>
      <c r="F52" s="80" t="s">
        <v>471</v>
      </c>
    </row>
    <row r="53" spans="1:7" ht="90" x14ac:dyDescent="0.35">
      <c r="A53" s="38">
        <v>46078</v>
      </c>
      <c r="B53" s="6">
        <f t="shared" si="5"/>
        <v>135</v>
      </c>
      <c r="C53" s="151">
        <f t="shared" si="6"/>
        <v>6.9612590799031482E-2</v>
      </c>
      <c r="D53" s="162">
        <f t="shared" si="7"/>
        <v>144.39769975786925</v>
      </c>
      <c r="E53" s="133" t="s">
        <v>470</v>
      </c>
      <c r="F53" s="80" t="s">
        <v>472</v>
      </c>
    </row>
    <row r="54" spans="1:7" ht="120" x14ac:dyDescent="0.35">
      <c r="A54" s="38">
        <v>46106</v>
      </c>
      <c r="B54" s="6">
        <f t="shared" si="5"/>
        <v>150</v>
      </c>
      <c r="C54" s="151">
        <f t="shared" si="6"/>
        <v>6.6005802707930356E-2</v>
      </c>
      <c r="D54" s="162">
        <f t="shared" si="7"/>
        <v>159.90087040618957</v>
      </c>
      <c r="E54" s="152" t="s">
        <v>473</v>
      </c>
      <c r="F54" s="80" t="s">
        <v>474</v>
      </c>
    </row>
    <row r="55" spans="1:7" ht="120" x14ac:dyDescent="0.35">
      <c r="A55" s="38">
        <v>46137</v>
      </c>
      <c r="B55" s="6">
        <f t="shared" si="5"/>
        <v>148</v>
      </c>
      <c r="C55" s="151">
        <f t="shared" si="6"/>
        <v>7.1115604988203573E-2</v>
      </c>
      <c r="D55" s="162">
        <f t="shared" si="7"/>
        <v>158.52510953825413</v>
      </c>
      <c r="E55" s="152" t="s">
        <v>473</v>
      </c>
      <c r="F55" s="80" t="s">
        <v>475</v>
      </c>
    </row>
    <row r="56" spans="1:7" ht="120" x14ac:dyDescent="0.35">
      <c r="A56" s="38">
        <v>46167</v>
      </c>
      <c r="B56" s="6">
        <f t="shared" si="5"/>
        <v>140</v>
      </c>
      <c r="C56" s="151">
        <f t="shared" si="6"/>
        <v>7.5673459087754719E-2</v>
      </c>
      <c r="D56" s="162">
        <f t="shared" si="7"/>
        <v>150.59428427228568</v>
      </c>
      <c r="E56" s="43" t="s">
        <v>476</v>
      </c>
      <c r="F56" s="80" t="s">
        <v>477</v>
      </c>
    </row>
    <row r="57" spans="1:7" ht="180" x14ac:dyDescent="0.35">
      <c r="A57" s="38">
        <v>46198</v>
      </c>
      <c r="B57" s="6">
        <f t="shared" si="5"/>
        <v>157</v>
      </c>
      <c r="C57" s="151">
        <f t="shared" si="6"/>
        <v>7.8411973617453071E-2</v>
      </c>
      <c r="D57" s="162">
        <f t="shared" si="7"/>
        <v>169.31067985794013</v>
      </c>
      <c r="E57" s="153" t="s">
        <v>478</v>
      </c>
      <c r="F57" s="80" t="s">
        <v>479</v>
      </c>
    </row>
    <row r="58" spans="1:7" ht="120" x14ac:dyDescent="0.35">
      <c r="A58" s="38">
        <v>46228</v>
      </c>
      <c r="B58" s="6">
        <f t="shared" si="5"/>
        <v>172</v>
      </c>
      <c r="C58" s="151">
        <f t="shared" si="6"/>
        <v>7.8040540540540548E-2</v>
      </c>
      <c r="D58" s="163">
        <f t="shared" si="7"/>
        <v>185.42297297297296</v>
      </c>
      <c r="E58" s="50" t="s">
        <v>480</v>
      </c>
      <c r="F58" s="170" t="s">
        <v>481</v>
      </c>
    </row>
    <row r="59" spans="1:7" ht="150" x14ac:dyDescent="0.35">
      <c r="A59" s="38">
        <v>46259</v>
      </c>
      <c r="B59" s="6">
        <f t="shared" si="5"/>
        <v>178</v>
      </c>
      <c r="C59" s="151">
        <f t="shared" si="6"/>
        <v>8.2157097288676234E-2</v>
      </c>
      <c r="D59" s="163">
        <f t="shared" si="7"/>
        <v>192.62396331738438</v>
      </c>
      <c r="E59" s="50" t="s">
        <v>480</v>
      </c>
      <c r="F59" s="170" t="s">
        <v>482</v>
      </c>
    </row>
    <row r="60" spans="1:7" ht="150" x14ac:dyDescent="0.35">
      <c r="A60" s="38">
        <v>46290</v>
      </c>
      <c r="B60" s="6">
        <f t="shared" si="5"/>
        <v>161</v>
      </c>
      <c r="C60" s="151">
        <f>AVERAGE((B33-B21)/B21,(B45-B33)/B45)</f>
        <v>8.5061198392400436E-2</v>
      </c>
      <c r="D60" s="162">
        <f t="shared" si="7"/>
        <v>174.69485294117646</v>
      </c>
      <c r="E60" s="152" t="s">
        <v>483</v>
      </c>
      <c r="F60" s="80" t="s">
        <v>484</v>
      </c>
    </row>
    <row r="61" spans="1:7" ht="90" x14ac:dyDescent="0.35">
      <c r="A61" s="38">
        <v>46320</v>
      </c>
      <c r="B61" s="6">
        <f t="shared" si="5"/>
        <v>141</v>
      </c>
      <c r="C61" s="151">
        <f>AVERAGE((B34-B22)/B22,(B46-B34)/B34)</f>
        <v>8.8526179702650296E-2</v>
      </c>
      <c r="D61" s="162">
        <f t="shared" si="7"/>
        <v>153.48219133807368</v>
      </c>
      <c r="E61" s="152" t="s">
        <v>483</v>
      </c>
      <c r="F61" s="80" t="s">
        <v>485</v>
      </c>
    </row>
    <row r="62" spans="1:7" ht="150" x14ac:dyDescent="0.35">
      <c r="A62" s="38">
        <v>46351</v>
      </c>
      <c r="B62" s="6">
        <f t="shared" si="5"/>
        <v>121</v>
      </c>
      <c r="C62" s="151">
        <f>AVERAGE((B35-B23)/B23,(B47-B35)/B35)</f>
        <v>7.8640109890109888E-2</v>
      </c>
      <c r="D62" s="162">
        <f t="shared" si="7"/>
        <v>130.5154532967033</v>
      </c>
      <c r="E62" s="133" t="s">
        <v>470</v>
      </c>
      <c r="F62" s="80" t="s">
        <v>486</v>
      </c>
    </row>
    <row r="63" spans="1:7" ht="150" x14ac:dyDescent="0.35">
      <c r="A63" s="38">
        <v>46381</v>
      </c>
      <c r="B63" s="6">
        <f t="shared" si="5"/>
        <v>135</v>
      </c>
      <c r="C63" s="151">
        <f>AVERAGE((B36-B24)/B24,(B48-B36)/B36)</f>
        <v>6.9612590799031482E-2</v>
      </c>
      <c r="D63" s="162">
        <f t="shared" si="7"/>
        <v>144.39769975786925</v>
      </c>
      <c r="E63" s="133" t="s">
        <v>487</v>
      </c>
      <c r="F63" s="80" t="s">
        <v>488</v>
      </c>
    </row>
    <row r="65" spans="1:7" x14ac:dyDescent="0.35">
      <c r="A65" s="147" t="s">
        <v>489</v>
      </c>
      <c r="B65" s="148"/>
      <c r="C65" s="148"/>
      <c r="D65" s="148"/>
      <c r="E65" s="148"/>
      <c r="F65" s="148"/>
      <c r="G65" s="148"/>
    </row>
    <row r="67" spans="1:7" x14ac:dyDescent="0.35">
      <c r="A67" s="161" t="s">
        <v>490</v>
      </c>
    </row>
    <row r="68" spans="1:7" x14ac:dyDescent="0.35">
      <c r="A68" s="161" t="s">
        <v>491</v>
      </c>
    </row>
    <row r="69" spans="1:7" x14ac:dyDescent="0.35">
      <c r="A69" s="161" t="s">
        <v>492</v>
      </c>
    </row>
    <row r="70" spans="1:7" x14ac:dyDescent="0.35">
      <c r="A70" s="161" t="s">
        <v>493</v>
      </c>
    </row>
    <row r="71" spans="1:7" x14ac:dyDescent="0.35">
      <c r="A71" s="138" t="s">
        <v>494</v>
      </c>
    </row>
    <row r="72" spans="1:7" x14ac:dyDescent="0.35">
      <c r="A72" s="138" t="s">
        <v>495</v>
      </c>
    </row>
    <row r="73" spans="1:7" x14ac:dyDescent="0.35">
      <c r="A73" s="138" t="s">
        <v>496</v>
      </c>
    </row>
    <row r="75" spans="1:7" x14ac:dyDescent="0.35">
      <c r="A75" s="171" t="s">
        <v>102</v>
      </c>
    </row>
  </sheetData>
  <mergeCells count="1">
    <mergeCell ref="A1:G1"/>
  </mergeCells>
  <hyperlinks>
    <hyperlink ref="A75" location="'TOC'!A1" display="← Back to Table of Contents" xr:uid="{2C1D7A51-CB7A-E246-939F-E8680C6595D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3589-929D-7A45-B8B9-B725B020522C}">
  <sheetPr>
    <tabColor rgb="FF003366"/>
  </sheetPr>
  <dimension ref="A1:L60"/>
  <sheetViews>
    <sheetView topLeftCell="A16" workbookViewId="0">
      <selection activeCell="D19" sqref="D19"/>
    </sheetView>
  </sheetViews>
  <sheetFormatPr baseColWidth="10" defaultRowHeight="29" x14ac:dyDescent="0.35"/>
  <cols>
    <col min="1" max="1" width="19.1640625" style="1" customWidth="1"/>
    <col min="2" max="3" width="16.6640625" style="1" customWidth="1"/>
    <col min="4" max="4" width="28.33203125" style="1" customWidth="1"/>
    <col min="5" max="5" width="14.1640625" style="1" customWidth="1"/>
    <col min="6" max="6" width="13.33203125" style="1" customWidth="1"/>
    <col min="7" max="7" width="12.5" style="1" customWidth="1"/>
    <col min="8" max="8" width="19.6640625" style="1" customWidth="1"/>
    <col min="9" max="9" width="57.33203125" style="1" customWidth="1"/>
    <col min="10" max="10" width="33.33203125" style="1" customWidth="1"/>
    <col min="11" max="12" width="41.6640625" style="1" customWidth="1"/>
    <col min="13" max="16384" width="10.83203125" style="1"/>
  </cols>
  <sheetData>
    <row r="1" spans="1:12" x14ac:dyDescent="0.35">
      <c r="A1" s="271" t="s">
        <v>503</v>
      </c>
      <c r="B1" s="272"/>
      <c r="C1" s="272"/>
      <c r="D1" s="272"/>
      <c r="E1" s="272"/>
      <c r="F1" s="272"/>
      <c r="G1" s="272"/>
    </row>
    <row r="2" spans="1:12" x14ac:dyDescent="0.35">
      <c r="A2" s="273" t="s">
        <v>504</v>
      </c>
      <c r="B2" s="274"/>
      <c r="C2" s="274"/>
      <c r="D2" s="274"/>
      <c r="E2" s="274"/>
      <c r="F2" s="274"/>
      <c r="G2" s="274"/>
    </row>
    <row r="4" spans="1:12" x14ac:dyDescent="0.35">
      <c r="A4" s="186" t="s">
        <v>505</v>
      </c>
      <c r="B4" s="187"/>
      <c r="C4" s="187"/>
      <c r="D4" s="187"/>
      <c r="E4" s="187"/>
      <c r="F4" s="187"/>
      <c r="I4" s="186" t="s">
        <v>527</v>
      </c>
      <c r="J4" s="187"/>
      <c r="K4" s="187"/>
      <c r="L4" s="187"/>
    </row>
    <row r="6" spans="1:12" x14ac:dyDescent="0.35">
      <c r="A6" s="13" t="s">
        <v>506</v>
      </c>
      <c r="I6" s="50" t="s">
        <v>528</v>
      </c>
    </row>
    <row r="7" spans="1:12" x14ac:dyDescent="0.35">
      <c r="A7" s="1" t="s">
        <v>507</v>
      </c>
      <c r="I7" s="1" t="s">
        <v>529</v>
      </c>
    </row>
    <row r="8" spans="1:12" x14ac:dyDescent="0.35">
      <c r="A8" s="1" t="s">
        <v>508</v>
      </c>
      <c r="I8" s="44" t="s">
        <v>530</v>
      </c>
    </row>
    <row r="9" spans="1:12" x14ac:dyDescent="0.35">
      <c r="A9" s="44" t="s">
        <v>509</v>
      </c>
    </row>
    <row r="10" spans="1:12" ht="30" x14ac:dyDescent="0.35">
      <c r="I10" s="189" t="s">
        <v>85</v>
      </c>
      <c r="J10" s="188" t="s">
        <v>86</v>
      </c>
      <c r="K10" s="197" t="s">
        <v>531</v>
      </c>
      <c r="L10" s="197" t="s">
        <v>532</v>
      </c>
    </row>
    <row r="11" spans="1:12" ht="60" x14ac:dyDescent="0.35">
      <c r="A11" s="186" t="s">
        <v>510</v>
      </c>
      <c r="B11" s="187"/>
      <c r="C11" s="187"/>
      <c r="D11" s="187"/>
      <c r="E11" s="187"/>
      <c r="F11" s="187"/>
      <c r="I11" s="32">
        <v>1</v>
      </c>
      <c r="J11" s="17" t="s">
        <v>533</v>
      </c>
      <c r="K11" s="198" t="s">
        <v>534</v>
      </c>
      <c r="L11" s="198" t="s">
        <v>535</v>
      </c>
    </row>
    <row r="12" spans="1:12" ht="90" x14ac:dyDescent="0.35">
      <c r="I12" s="33">
        <v>2</v>
      </c>
      <c r="J12" s="21" t="s">
        <v>536</v>
      </c>
      <c r="K12" s="199" t="s">
        <v>537</v>
      </c>
      <c r="L12" s="200" t="s">
        <v>538</v>
      </c>
    </row>
    <row r="13" spans="1:12" ht="61" thickBot="1" x14ac:dyDescent="0.4">
      <c r="A13" s="188" t="s">
        <v>24</v>
      </c>
      <c r="B13" s="189" t="s">
        <v>112</v>
      </c>
      <c r="C13" s="189" t="s">
        <v>511</v>
      </c>
      <c r="D13" s="188" t="s">
        <v>512</v>
      </c>
      <c r="I13" s="32">
        <v>3</v>
      </c>
      <c r="J13" s="17" t="s">
        <v>539</v>
      </c>
      <c r="K13" s="201" t="s">
        <v>540</v>
      </c>
      <c r="L13" s="198" t="s">
        <v>541</v>
      </c>
    </row>
    <row r="14" spans="1:12" ht="123" thickTop="1" thickBot="1" x14ac:dyDescent="0.45">
      <c r="A14" s="18" t="s">
        <v>374</v>
      </c>
      <c r="B14" s="190" t="s">
        <v>115</v>
      </c>
      <c r="C14" s="209">
        <v>1</v>
      </c>
      <c r="D14" s="191" t="s">
        <v>513</v>
      </c>
      <c r="I14" s="33">
        <v>4</v>
      </c>
      <c r="J14" s="21" t="s">
        <v>542</v>
      </c>
      <c r="K14" s="202" t="s">
        <v>543</v>
      </c>
      <c r="L14" s="200" t="s">
        <v>544</v>
      </c>
    </row>
    <row r="15" spans="1:12" ht="123" thickTop="1" thickBot="1" x14ac:dyDescent="0.45">
      <c r="A15" s="22" t="s">
        <v>116</v>
      </c>
      <c r="B15" s="192" t="s">
        <v>117</v>
      </c>
      <c r="C15" s="209">
        <v>0.5</v>
      </c>
      <c r="D15" s="193" t="s">
        <v>514</v>
      </c>
      <c r="I15" s="32">
        <v>5</v>
      </c>
      <c r="J15" s="17" t="s">
        <v>545</v>
      </c>
      <c r="K15" s="203" t="s">
        <v>546</v>
      </c>
      <c r="L15" s="198" t="s">
        <v>547</v>
      </c>
    </row>
    <row r="16" spans="1:12" ht="98" thickTop="1" thickBot="1" x14ac:dyDescent="0.45">
      <c r="A16" s="18" t="s">
        <v>118</v>
      </c>
      <c r="B16" s="190" t="s">
        <v>119</v>
      </c>
      <c r="C16" s="208">
        <v>-0.3</v>
      </c>
      <c r="D16" s="191" t="s">
        <v>515</v>
      </c>
      <c r="I16" s="33">
        <v>6</v>
      </c>
      <c r="J16" s="21" t="s">
        <v>548</v>
      </c>
      <c r="K16" s="204" t="s">
        <v>549</v>
      </c>
      <c r="L16" s="200" t="s">
        <v>547</v>
      </c>
    </row>
    <row r="17" spans="1:12" ht="97" thickTop="1" x14ac:dyDescent="0.4">
      <c r="I17" s="32">
        <v>7</v>
      </c>
      <c r="J17" s="17" t="s">
        <v>550</v>
      </c>
      <c r="K17" s="203" t="s">
        <v>551</v>
      </c>
      <c r="L17" s="198" t="s">
        <v>552</v>
      </c>
    </row>
    <row r="18" spans="1:12" ht="96" x14ac:dyDescent="0.4">
      <c r="A18" s="186" t="s">
        <v>516</v>
      </c>
      <c r="B18" s="187"/>
      <c r="C18" s="187"/>
      <c r="D18" s="187"/>
      <c r="E18" s="187"/>
      <c r="F18" s="187"/>
      <c r="G18" s="187"/>
      <c r="I18" s="33">
        <v>8</v>
      </c>
      <c r="J18" s="21" t="s">
        <v>553</v>
      </c>
      <c r="K18" s="204" t="s">
        <v>554</v>
      </c>
      <c r="L18" s="200" t="s">
        <v>552</v>
      </c>
    </row>
    <row r="19" spans="1:12" ht="90" x14ac:dyDescent="0.35">
      <c r="A19" s="32" t="s">
        <v>361</v>
      </c>
      <c r="B19" s="32" t="s">
        <v>517</v>
      </c>
      <c r="C19" s="32" t="s">
        <v>419</v>
      </c>
      <c r="D19" s="32" t="s">
        <v>386</v>
      </c>
      <c r="E19" s="32" t="s">
        <v>109</v>
      </c>
      <c r="F19" s="194" t="s">
        <v>518</v>
      </c>
      <c r="G19" s="194" t="s">
        <v>519</v>
      </c>
      <c r="I19" s="32">
        <v>9</v>
      </c>
      <c r="J19" s="17" t="s">
        <v>555</v>
      </c>
      <c r="K19" s="205" t="s">
        <v>556</v>
      </c>
      <c r="L19" s="198" t="s">
        <v>557</v>
      </c>
    </row>
    <row r="20" spans="1:12" ht="60" x14ac:dyDescent="0.35">
      <c r="A20" s="1">
        <v>1</v>
      </c>
      <c r="B20" s="175">
        <v>200</v>
      </c>
      <c r="I20" s="33">
        <v>10</v>
      </c>
      <c r="J20" s="21" t="s">
        <v>558</v>
      </c>
      <c r="K20" s="206" t="s">
        <v>559</v>
      </c>
      <c r="L20" s="200" t="s">
        <v>560</v>
      </c>
    </row>
    <row r="21" spans="1:12" x14ac:dyDescent="0.35">
      <c r="A21" s="1">
        <v>2</v>
      </c>
      <c r="B21" s="175">
        <v>214</v>
      </c>
      <c r="C21" s="128">
        <f>B21-B20</f>
        <v>14</v>
      </c>
      <c r="D21" s="6"/>
      <c r="E21" s="128">
        <f>B20</f>
        <v>200</v>
      </c>
      <c r="F21" s="128">
        <f>B21-E21</f>
        <v>14</v>
      </c>
      <c r="G21" s="135">
        <f>F21^2</f>
        <v>196</v>
      </c>
    </row>
    <row r="22" spans="1:12" x14ac:dyDescent="0.35">
      <c r="A22" s="1">
        <v>3</v>
      </c>
      <c r="B22" s="175">
        <v>208</v>
      </c>
      <c r="C22" s="128">
        <f>B22-B21</f>
        <v>-6</v>
      </c>
      <c r="D22" s="128">
        <f>$C$14+$C$15*C21+$C$16*F21</f>
        <v>3.8</v>
      </c>
      <c r="E22" s="128">
        <f>B21+D22</f>
        <v>217.8</v>
      </c>
      <c r="F22" s="128">
        <f>B22-E22</f>
        <v>-9.8000000000000114</v>
      </c>
      <c r="G22" s="135">
        <f>F22^2</f>
        <v>96.040000000000219</v>
      </c>
      <c r="I22" s="188" t="s">
        <v>561</v>
      </c>
      <c r="J22" s="207"/>
      <c r="K22" s="207"/>
      <c r="L22" s="207"/>
    </row>
    <row r="23" spans="1:12" x14ac:dyDescent="0.35">
      <c r="A23" s="1">
        <v>4</v>
      </c>
      <c r="B23" s="175">
        <v>222</v>
      </c>
      <c r="C23" s="128">
        <f t="shared" ref="C23:C39" si="0">B23-B22</f>
        <v>14</v>
      </c>
      <c r="D23" s="128">
        <f t="shared" ref="D23:D32" si="1">$C$14+$C$15*C22+$C$16*F22</f>
        <v>0.9400000000000035</v>
      </c>
      <c r="E23" s="128">
        <f t="shared" ref="E23:E39" si="2">B22+D23</f>
        <v>208.94</v>
      </c>
      <c r="F23" s="128">
        <f t="shared" ref="F23:F39" si="3">B23-E23</f>
        <v>13.060000000000002</v>
      </c>
      <c r="G23" s="135">
        <f t="shared" ref="G23:G39" si="4">F23^2</f>
        <v>170.56360000000006</v>
      </c>
    </row>
    <row r="24" spans="1:12" x14ac:dyDescent="0.35">
      <c r="A24" s="1">
        <v>5</v>
      </c>
      <c r="B24" s="175">
        <v>218</v>
      </c>
      <c r="C24" s="128">
        <f t="shared" si="0"/>
        <v>-4</v>
      </c>
      <c r="D24" s="128">
        <f t="shared" si="1"/>
        <v>4.081999999999999</v>
      </c>
      <c r="E24" s="128">
        <f t="shared" si="2"/>
        <v>226.08199999999999</v>
      </c>
      <c r="F24" s="128">
        <f t="shared" si="3"/>
        <v>-8.0819999999999936</v>
      </c>
      <c r="G24" s="135">
        <f t="shared" si="4"/>
        <v>65.318723999999904</v>
      </c>
      <c r="I24" s="17" t="s">
        <v>562</v>
      </c>
      <c r="J24" s="17" t="s">
        <v>563</v>
      </c>
    </row>
    <row r="25" spans="1:12" ht="31" x14ac:dyDescent="0.4">
      <c r="A25" s="1">
        <v>6</v>
      </c>
      <c r="B25" s="175">
        <v>231</v>
      </c>
      <c r="C25" s="128">
        <f t="shared" si="0"/>
        <v>13</v>
      </c>
      <c r="D25" s="128">
        <f t="shared" si="1"/>
        <v>1.4245999999999981</v>
      </c>
      <c r="E25" s="128">
        <f t="shared" si="2"/>
        <v>219.4246</v>
      </c>
      <c r="F25" s="128">
        <f t="shared" si="3"/>
        <v>11.575400000000002</v>
      </c>
      <c r="G25" s="135">
        <f t="shared" si="4"/>
        <v>133.98988516000006</v>
      </c>
      <c r="I25" s="1" t="s">
        <v>564</v>
      </c>
      <c r="J25" s="57" t="s">
        <v>565</v>
      </c>
    </row>
    <row r="26" spans="1:12" x14ac:dyDescent="0.35">
      <c r="A26" s="1">
        <v>7</v>
      </c>
      <c r="B26" s="175">
        <v>225</v>
      </c>
      <c r="C26" s="128">
        <f t="shared" si="0"/>
        <v>-6</v>
      </c>
      <c r="D26" s="128">
        <f t="shared" si="1"/>
        <v>4.0273799999999991</v>
      </c>
      <c r="E26" s="128">
        <f t="shared" si="2"/>
        <v>235.02737999999999</v>
      </c>
      <c r="F26" s="128">
        <f t="shared" si="3"/>
        <v>-10.027379999999994</v>
      </c>
      <c r="G26" s="135">
        <f t="shared" si="4"/>
        <v>100.54834966439988</v>
      </c>
      <c r="I26" s="1" t="s">
        <v>566</v>
      </c>
      <c r="J26" s="50" t="s">
        <v>567</v>
      </c>
    </row>
    <row r="27" spans="1:12" ht="31" x14ac:dyDescent="0.4">
      <c r="A27" s="1">
        <v>8</v>
      </c>
      <c r="B27" s="175">
        <v>240</v>
      </c>
      <c r="C27" s="128">
        <f t="shared" si="0"/>
        <v>15</v>
      </c>
      <c r="D27" s="128">
        <f t="shared" si="1"/>
        <v>1.0082139999999979</v>
      </c>
      <c r="E27" s="128">
        <f t="shared" si="2"/>
        <v>226.00821400000001</v>
      </c>
      <c r="F27" s="128">
        <f t="shared" si="3"/>
        <v>13.991785999999991</v>
      </c>
      <c r="G27" s="135">
        <f t="shared" si="4"/>
        <v>195.77007546979573</v>
      </c>
      <c r="I27" s="1" t="s">
        <v>568</v>
      </c>
      <c r="J27" s="176" t="s">
        <v>569</v>
      </c>
    </row>
    <row r="28" spans="1:12" ht="128" x14ac:dyDescent="0.4">
      <c r="A28" s="1">
        <v>9</v>
      </c>
      <c r="B28" s="175">
        <v>236</v>
      </c>
      <c r="C28" s="128">
        <f t="shared" si="0"/>
        <v>-4</v>
      </c>
      <c r="D28" s="128">
        <f t="shared" si="1"/>
        <v>4.3024642000000028</v>
      </c>
      <c r="E28" s="128">
        <f t="shared" si="2"/>
        <v>244.3024642</v>
      </c>
      <c r="F28" s="128">
        <f t="shared" si="3"/>
        <v>-8.3024642000000028</v>
      </c>
      <c r="G28" s="135">
        <f t="shared" si="4"/>
        <v>68.930911792281691</v>
      </c>
      <c r="I28" s="1" t="s">
        <v>570</v>
      </c>
      <c r="J28" s="178" t="s">
        <v>571</v>
      </c>
    </row>
    <row r="29" spans="1:12" x14ac:dyDescent="0.35">
      <c r="A29" s="1">
        <v>10</v>
      </c>
      <c r="B29" s="175">
        <v>248</v>
      </c>
      <c r="C29" s="128">
        <f t="shared" si="0"/>
        <v>12</v>
      </c>
      <c r="D29" s="128">
        <f t="shared" si="1"/>
        <v>1.4907392600000007</v>
      </c>
      <c r="E29" s="128">
        <f t="shared" si="2"/>
        <v>237.49073926</v>
      </c>
      <c r="F29" s="128">
        <f t="shared" si="3"/>
        <v>10.509260740000002</v>
      </c>
      <c r="G29" s="135">
        <f t="shared" si="4"/>
        <v>110.44456130130538</v>
      </c>
      <c r="I29" s="1" t="s">
        <v>572</v>
      </c>
      <c r="J29" s="50" t="s">
        <v>573</v>
      </c>
    </row>
    <row r="30" spans="1:12" x14ac:dyDescent="0.35">
      <c r="A30" s="1">
        <v>11</v>
      </c>
      <c r="B30" s="175">
        <v>243</v>
      </c>
      <c r="C30" s="128">
        <f t="shared" si="0"/>
        <v>-5</v>
      </c>
      <c r="D30" s="128">
        <f t="shared" si="1"/>
        <v>3.8472217779999993</v>
      </c>
      <c r="E30" s="128">
        <f t="shared" si="2"/>
        <v>251.84722177800001</v>
      </c>
      <c r="F30" s="128">
        <f t="shared" si="3"/>
        <v>-8.8472217780000051</v>
      </c>
      <c r="G30" s="135">
        <f t="shared" si="4"/>
        <v>78.273333189117565</v>
      </c>
    </row>
    <row r="31" spans="1:12" x14ac:dyDescent="0.35">
      <c r="A31" s="1">
        <v>12</v>
      </c>
      <c r="B31" s="175">
        <v>257</v>
      </c>
      <c r="C31" s="128">
        <f t="shared" si="0"/>
        <v>14</v>
      </c>
      <c r="D31" s="128">
        <f t="shared" si="1"/>
        <v>1.1541665334000015</v>
      </c>
      <c r="E31" s="128">
        <f t="shared" si="2"/>
        <v>244.1541665334</v>
      </c>
      <c r="F31" s="128">
        <f t="shared" si="3"/>
        <v>12.845833466599998</v>
      </c>
      <c r="G31" s="135">
        <f t="shared" si="4"/>
        <v>165.01543745162053</v>
      </c>
      <c r="I31" s="147" t="s">
        <v>574</v>
      </c>
      <c r="J31" s="148"/>
      <c r="K31" s="148"/>
      <c r="L31" s="148"/>
    </row>
    <row r="32" spans="1:12" x14ac:dyDescent="0.35">
      <c r="A32" s="1">
        <v>13</v>
      </c>
      <c r="B32" s="175">
        <v>250</v>
      </c>
      <c r="C32" s="128">
        <f t="shared" si="0"/>
        <v>-7</v>
      </c>
      <c r="D32" s="128">
        <f t="shared" si="1"/>
        <v>4.1462499600200005</v>
      </c>
      <c r="E32" s="128">
        <f t="shared" si="2"/>
        <v>261.14624996001999</v>
      </c>
      <c r="F32" s="128">
        <f t="shared" si="3"/>
        <v>-11.146249960019986</v>
      </c>
      <c r="G32" s="135">
        <f t="shared" si="4"/>
        <v>124.23888817124555</v>
      </c>
    </row>
    <row r="33" spans="1:10" ht="90" x14ac:dyDescent="0.35">
      <c r="A33" s="1">
        <v>14</v>
      </c>
      <c r="B33" s="175">
        <v>265</v>
      </c>
      <c r="C33" s="128">
        <f t="shared" si="0"/>
        <v>15</v>
      </c>
      <c r="D33" s="128">
        <f>$C$14+$C$15*C32+$C$16*F32</f>
        <v>0.8438749880059957</v>
      </c>
      <c r="E33" s="128">
        <f t="shared" si="2"/>
        <v>250.84387498800601</v>
      </c>
      <c r="F33" s="128">
        <f t="shared" si="3"/>
        <v>14.156125011993993</v>
      </c>
      <c r="G33" s="135">
        <f t="shared" si="4"/>
        <v>200.39587535520192</v>
      </c>
      <c r="I33" s="177">
        <v>1</v>
      </c>
      <c r="J33" s="80" t="s">
        <v>575</v>
      </c>
    </row>
    <row r="34" spans="1:10" ht="150" x14ac:dyDescent="0.35">
      <c r="A34" s="1">
        <v>15</v>
      </c>
      <c r="B34" s="175">
        <v>260</v>
      </c>
      <c r="C34" s="128">
        <f t="shared" si="0"/>
        <v>-5</v>
      </c>
      <c r="D34" s="128">
        <f t="shared" ref="D34:D39" si="5">$C$14+$C$15*C33+$C$16*F33</f>
        <v>4.253162496401802</v>
      </c>
      <c r="E34" s="128">
        <f t="shared" si="2"/>
        <v>269.25316249640179</v>
      </c>
      <c r="F34" s="128">
        <f t="shared" si="3"/>
        <v>-9.2531624964017851</v>
      </c>
      <c r="G34" s="135">
        <f t="shared" si="4"/>
        <v>85.621016184816511</v>
      </c>
      <c r="I34" s="177">
        <v>2</v>
      </c>
      <c r="J34" s="80" t="s">
        <v>576</v>
      </c>
    </row>
    <row r="35" spans="1:10" ht="90" x14ac:dyDescent="0.35">
      <c r="A35" s="1">
        <v>16</v>
      </c>
      <c r="B35" s="175">
        <v>273</v>
      </c>
      <c r="C35" s="128">
        <f t="shared" si="0"/>
        <v>13</v>
      </c>
      <c r="D35" s="128">
        <f t="shared" si="5"/>
        <v>1.2759487489205354</v>
      </c>
      <c r="E35" s="128">
        <f t="shared" si="2"/>
        <v>261.27594874892054</v>
      </c>
      <c r="F35" s="128">
        <f t="shared" si="3"/>
        <v>11.724051251079459</v>
      </c>
      <c r="G35" s="135">
        <f t="shared" si="4"/>
        <v>137.45337773793781</v>
      </c>
      <c r="I35" s="177">
        <v>3</v>
      </c>
      <c r="J35" s="80" t="s">
        <v>577</v>
      </c>
    </row>
    <row r="36" spans="1:10" ht="150" x14ac:dyDescent="0.35">
      <c r="A36" s="1">
        <v>17</v>
      </c>
      <c r="B36" s="175">
        <v>268</v>
      </c>
      <c r="C36" s="128">
        <f t="shared" si="0"/>
        <v>-5</v>
      </c>
      <c r="D36" s="128">
        <f t="shared" si="5"/>
        <v>3.9827846246761625</v>
      </c>
      <c r="E36" s="128">
        <f t="shared" si="2"/>
        <v>276.98278462467619</v>
      </c>
      <c r="F36" s="128">
        <f t="shared" si="3"/>
        <v>-8.9827846246761851</v>
      </c>
      <c r="G36" s="135">
        <f t="shared" si="4"/>
        <v>80.690419613318866</v>
      </c>
      <c r="I36" s="177">
        <v>4</v>
      </c>
      <c r="J36" s="80" t="s">
        <v>578</v>
      </c>
    </row>
    <row r="37" spans="1:10" ht="180" x14ac:dyDescent="0.35">
      <c r="A37" s="1">
        <v>18</v>
      </c>
      <c r="B37" s="175">
        <v>282</v>
      </c>
      <c r="C37" s="128">
        <f t="shared" si="0"/>
        <v>14</v>
      </c>
      <c r="D37" s="128">
        <f t="shared" si="5"/>
        <v>1.1948353874028554</v>
      </c>
      <c r="E37" s="128">
        <f t="shared" si="2"/>
        <v>269.19483538740286</v>
      </c>
      <c r="F37" s="128">
        <f t="shared" si="3"/>
        <v>12.805164612597139</v>
      </c>
      <c r="G37" s="135">
        <f t="shared" si="4"/>
        <v>163.97224075571003</v>
      </c>
      <c r="I37" s="177">
        <v>5</v>
      </c>
      <c r="J37" s="179" t="s">
        <v>579</v>
      </c>
    </row>
    <row r="38" spans="1:10" x14ac:dyDescent="0.35">
      <c r="A38" s="1">
        <v>19</v>
      </c>
      <c r="B38" s="175">
        <v>276</v>
      </c>
      <c r="C38" s="128">
        <f t="shared" si="0"/>
        <v>-6</v>
      </c>
      <c r="D38" s="128">
        <f t="shared" si="5"/>
        <v>4.1584506162208585</v>
      </c>
      <c r="E38" s="128">
        <f t="shared" si="2"/>
        <v>286.15845061622088</v>
      </c>
      <c r="F38" s="128">
        <f t="shared" si="3"/>
        <v>-10.158450616220875</v>
      </c>
      <c r="G38" s="135">
        <f t="shared" si="4"/>
        <v>103.19411892219829</v>
      </c>
    </row>
    <row r="39" spans="1:10" x14ac:dyDescent="0.35">
      <c r="A39" s="1">
        <v>20</v>
      </c>
      <c r="B39" s="175">
        <v>290</v>
      </c>
      <c r="C39" s="128">
        <f t="shared" si="0"/>
        <v>14</v>
      </c>
      <c r="D39" s="128">
        <f t="shared" si="5"/>
        <v>1.0475351848662626</v>
      </c>
      <c r="E39" s="128">
        <f t="shared" si="2"/>
        <v>277.04753518486626</v>
      </c>
      <c r="F39" s="128">
        <f t="shared" si="3"/>
        <v>12.952464815133737</v>
      </c>
      <c r="G39" s="135">
        <f t="shared" si="4"/>
        <v>167.76634478727743</v>
      </c>
      <c r="I39" s="195" t="s">
        <v>580</v>
      </c>
    </row>
    <row r="40" spans="1:10" ht="90" x14ac:dyDescent="0.35">
      <c r="I40" s="80" t="s">
        <v>581</v>
      </c>
    </row>
    <row r="41" spans="1:10" ht="90" x14ac:dyDescent="0.35">
      <c r="A41" s="186" t="s">
        <v>520</v>
      </c>
      <c r="B41" s="187"/>
      <c r="C41" s="187"/>
      <c r="D41" s="187"/>
      <c r="E41" s="187"/>
      <c r="F41" s="187"/>
      <c r="G41" s="187"/>
      <c r="I41" s="80" t="s">
        <v>582</v>
      </c>
    </row>
    <row r="42" spans="1:10" ht="91" thickBot="1" x14ac:dyDescent="0.4">
      <c r="I42" s="80" t="s">
        <v>583</v>
      </c>
    </row>
    <row r="43" spans="1:10" ht="122" thickTop="1" thickBot="1" x14ac:dyDescent="0.4">
      <c r="A43" s="195" t="s">
        <v>521</v>
      </c>
      <c r="B43" s="180">
        <f>SUM(G21:G39)</f>
        <v>2444.2271595562274</v>
      </c>
      <c r="C43" s="50" t="s">
        <v>522</v>
      </c>
      <c r="I43" s="80" t="s">
        <v>584</v>
      </c>
    </row>
    <row r="44" spans="1:10" ht="91" thickTop="1" x14ac:dyDescent="0.35">
      <c r="A44" s="1" t="s">
        <v>523</v>
      </c>
      <c r="B44" s="6">
        <f>COUNT(F21:F39)</f>
        <v>19</v>
      </c>
      <c r="I44" s="80" t="s">
        <v>585</v>
      </c>
    </row>
    <row r="45" spans="1:10" x14ac:dyDescent="0.35">
      <c r="A45" s="1" t="s">
        <v>524</v>
      </c>
      <c r="B45" s="135">
        <f>B43/B44</f>
        <v>128.64353471348565</v>
      </c>
    </row>
    <row r="46" spans="1:10" x14ac:dyDescent="0.35">
      <c r="A46" s="13" t="s">
        <v>525</v>
      </c>
      <c r="B46" s="196">
        <f>SQRT(B45)</f>
        <v>11.342113326602131</v>
      </c>
      <c r="C46" s="44" t="s">
        <v>526</v>
      </c>
    </row>
    <row r="48" spans="1:10" x14ac:dyDescent="0.35">
      <c r="A48" s="186" t="s">
        <v>586</v>
      </c>
      <c r="B48" s="187"/>
      <c r="C48" s="187"/>
      <c r="D48" s="187"/>
      <c r="E48" s="187"/>
      <c r="F48" s="187"/>
      <c r="G48" s="187"/>
    </row>
    <row r="50" spans="1:7" x14ac:dyDescent="0.35">
      <c r="A50" s="13"/>
      <c r="B50" s="181" t="s">
        <v>587</v>
      </c>
      <c r="C50" s="182" t="s">
        <v>588</v>
      </c>
      <c r="D50" s="174" t="s">
        <v>365</v>
      </c>
    </row>
    <row r="51" spans="1:7" x14ac:dyDescent="0.35">
      <c r="A51" s="13" t="s">
        <v>589</v>
      </c>
      <c r="B51" s="183">
        <v>1</v>
      </c>
      <c r="C51" s="184">
        <f>C14</f>
        <v>1</v>
      </c>
      <c r="D51" s="44" t="s">
        <v>590</v>
      </c>
    </row>
    <row r="52" spans="1:7" x14ac:dyDescent="0.35">
      <c r="A52" s="13" t="s">
        <v>591</v>
      </c>
      <c r="B52" s="183">
        <v>0.5</v>
      </c>
      <c r="C52" s="184">
        <f>C15</f>
        <v>0.5</v>
      </c>
      <c r="D52" s="44" t="s">
        <v>592</v>
      </c>
    </row>
    <row r="53" spans="1:7" x14ac:dyDescent="0.35">
      <c r="A53" s="13" t="s">
        <v>593</v>
      </c>
      <c r="B53" s="183">
        <v>-0.3</v>
      </c>
      <c r="C53" s="184">
        <f>C16</f>
        <v>-0.3</v>
      </c>
      <c r="D53" s="44" t="s">
        <v>594</v>
      </c>
    </row>
    <row r="55" spans="1:7" x14ac:dyDescent="0.35">
      <c r="A55" s="13" t="s">
        <v>595</v>
      </c>
      <c r="B55" s="183" t="s">
        <v>596</v>
      </c>
      <c r="C55" s="185">
        <f>B43</f>
        <v>2444.2271595562274</v>
      </c>
      <c r="D55" s="50" t="s">
        <v>597</v>
      </c>
    </row>
    <row r="56" spans="1:7" x14ac:dyDescent="0.35">
      <c r="A56" s="13" t="s">
        <v>598</v>
      </c>
      <c r="B56" s="183" t="s">
        <v>596</v>
      </c>
      <c r="C56" s="185">
        <f>B46</f>
        <v>11.342113326602131</v>
      </c>
      <c r="D56" s="50" t="s">
        <v>599</v>
      </c>
    </row>
    <row r="58" spans="1:7" x14ac:dyDescent="0.35">
      <c r="A58" s="275" t="s">
        <v>600</v>
      </c>
      <c r="B58" s="276"/>
      <c r="C58" s="276"/>
      <c r="D58" s="276"/>
      <c r="E58" s="276"/>
      <c r="F58" s="276"/>
      <c r="G58" s="276"/>
    </row>
    <row r="60" spans="1:7" x14ac:dyDescent="0.35">
      <c r="A60" s="210" t="s">
        <v>102</v>
      </c>
    </row>
  </sheetData>
  <mergeCells count="3">
    <mergeCell ref="A1:G1"/>
    <mergeCell ref="A2:G2"/>
    <mergeCell ref="A58:G58"/>
  </mergeCells>
  <hyperlinks>
    <hyperlink ref="A60" location="'TOC'!A1" display="← Back to Table of Contents" xr:uid="{EF56F8F8-D50E-1440-8C03-F645106B237F}"/>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10BC-B43D-1842-B752-3AA23A88DA3D}">
  <sheetPr>
    <tabColor rgb="FF005A9E"/>
  </sheetPr>
  <dimension ref="A1:L92"/>
  <sheetViews>
    <sheetView topLeftCell="A17" workbookViewId="0">
      <selection activeCell="D14" sqref="D14"/>
    </sheetView>
  </sheetViews>
  <sheetFormatPr baseColWidth="10" defaultColWidth="27.33203125" defaultRowHeight="29" x14ac:dyDescent="0.35"/>
  <cols>
    <col min="1" max="1" width="29.1640625" style="1" customWidth="1"/>
    <col min="2" max="2" width="15" style="1" customWidth="1"/>
    <col min="3" max="6" width="13.33203125" style="1" customWidth="1"/>
    <col min="7" max="7" width="30" style="1" customWidth="1"/>
    <col min="8" max="8" width="33.33203125" style="1" customWidth="1"/>
    <col min="9" max="9" width="16.6640625" style="1" customWidth="1"/>
    <col min="10" max="10" width="30" style="1" customWidth="1"/>
    <col min="11" max="11" width="50" style="1" customWidth="1"/>
    <col min="12" max="12" width="33.33203125" style="1" customWidth="1"/>
    <col min="13" max="16384" width="27.33203125" style="1"/>
  </cols>
  <sheetData>
    <row r="1" spans="1:12" x14ac:dyDescent="0.35">
      <c r="A1" s="277" t="s">
        <v>603</v>
      </c>
      <c r="B1" s="277"/>
      <c r="C1" s="277"/>
      <c r="D1" s="277"/>
      <c r="E1" s="277"/>
      <c r="F1" s="277"/>
    </row>
    <row r="2" spans="1:12" x14ac:dyDescent="0.35">
      <c r="A2" s="278" t="s">
        <v>604</v>
      </c>
      <c r="B2" s="278"/>
      <c r="C2" s="278"/>
      <c r="D2" s="278"/>
      <c r="E2" s="278"/>
      <c r="F2" s="278"/>
    </row>
    <row r="4" spans="1:12" x14ac:dyDescent="0.35">
      <c r="A4" s="211" t="s">
        <v>605</v>
      </c>
      <c r="B4" s="212"/>
      <c r="C4" s="212"/>
      <c r="D4" s="212"/>
      <c r="E4" s="212"/>
      <c r="F4" s="212"/>
    </row>
    <row r="6" spans="1:12" x14ac:dyDescent="0.35">
      <c r="A6" s="13" t="s">
        <v>606</v>
      </c>
    </row>
    <row r="7" spans="1:12" x14ac:dyDescent="0.35">
      <c r="A7" s="1" t="s">
        <v>607</v>
      </c>
    </row>
    <row r="8" spans="1:12" x14ac:dyDescent="0.35">
      <c r="A8" s="1" t="s">
        <v>608</v>
      </c>
    </row>
    <row r="9" spans="1:12" x14ac:dyDescent="0.35">
      <c r="A9" s="1" t="s">
        <v>609</v>
      </c>
    </row>
    <row r="10" spans="1:12" x14ac:dyDescent="0.35">
      <c r="A10" s="50" t="s">
        <v>610</v>
      </c>
    </row>
    <row r="11" spans="1:12" x14ac:dyDescent="0.35">
      <c r="A11" s="1" t="s">
        <v>611</v>
      </c>
    </row>
    <row r="13" spans="1:12" ht="90" x14ac:dyDescent="0.35">
      <c r="A13" s="248" t="s">
        <v>612</v>
      </c>
      <c r="B13" s="248"/>
      <c r="C13" s="248"/>
      <c r="D13" s="248"/>
      <c r="E13" s="248"/>
      <c r="F13" s="248"/>
      <c r="H13" s="211" t="s">
        <v>619</v>
      </c>
      <c r="I13" s="212"/>
      <c r="J13" s="212"/>
      <c r="K13" s="212"/>
      <c r="L13" s="212"/>
    </row>
    <row r="14" spans="1:12" ht="90" x14ac:dyDescent="0.35">
      <c r="A14" s="248" t="s">
        <v>613</v>
      </c>
      <c r="B14" s="248" t="s">
        <v>614</v>
      </c>
      <c r="C14" s="248" t="s">
        <v>615</v>
      </c>
      <c r="D14" s="248" t="s">
        <v>616</v>
      </c>
      <c r="E14" s="248" t="s">
        <v>617</v>
      </c>
      <c r="F14" s="248" t="s">
        <v>618</v>
      </c>
      <c r="H14" s="213" t="s">
        <v>620</v>
      </c>
      <c r="I14" s="223" t="s">
        <v>621</v>
      </c>
      <c r="J14" s="222" t="s">
        <v>365</v>
      </c>
      <c r="K14" s="223" t="s">
        <v>622</v>
      </c>
    </row>
    <row r="15" spans="1:12" ht="120" x14ac:dyDescent="0.35">
      <c r="A15" s="108">
        <v>1</v>
      </c>
      <c r="B15" s="131">
        <v>50</v>
      </c>
      <c r="C15" s="131"/>
      <c r="D15" s="131"/>
      <c r="E15" s="131"/>
      <c r="F15" s="131"/>
      <c r="H15" s="214" t="s">
        <v>623</v>
      </c>
      <c r="I15" s="216">
        <v>1</v>
      </c>
      <c r="J15" s="224" t="s">
        <v>624</v>
      </c>
      <c r="K15" s="225" t="s">
        <v>625</v>
      </c>
    </row>
    <row r="16" spans="1:12" ht="90" x14ac:dyDescent="0.35">
      <c r="A16" s="108">
        <v>2</v>
      </c>
      <c r="B16" s="131">
        <v>55</v>
      </c>
      <c r="C16" s="132">
        <f>B15</f>
        <v>50</v>
      </c>
      <c r="D16" s="131"/>
      <c r="E16" s="131"/>
      <c r="F16" s="131"/>
      <c r="H16" s="177" t="s">
        <v>626</v>
      </c>
      <c r="I16" s="217">
        <f>CORREL(B16:B46,C16:C46)</f>
        <v>0.95790769105503193</v>
      </c>
      <c r="J16" s="80" t="s">
        <v>627</v>
      </c>
      <c r="K16" s="226" t="s">
        <v>628</v>
      </c>
    </row>
    <row r="17" spans="1:12" ht="120" x14ac:dyDescent="0.35">
      <c r="A17" s="108">
        <v>3</v>
      </c>
      <c r="B17" s="131">
        <v>52</v>
      </c>
      <c r="C17" s="132">
        <f t="shared" ref="C17:C46" si="0">B16</f>
        <v>55</v>
      </c>
      <c r="D17" s="132">
        <f>B15</f>
        <v>50</v>
      </c>
      <c r="E17" s="131"/>
      <c r="F17" s="131"/>
      <c r="H17" s="218" t="s">
        <v>629</v>
      </c>
      <c r="I17" s="219">
        <f>CORREL(B17:B46,D17:D46)</f>
        <v>0.95349972763044899</v>
      </c>
      <c r="J17" s="140" t="s">
        <v>630</v>
      </c>
      <c r="K17" s="227" t="s">
        <v>628</v>
      </c>
    </row>
    <row r="18" spans="1:12" ht="120" x14ac:dyDescent="0.35">
      <c r="A18" s="108">
        <v>4</v>
      </c>
      <c r="B18" s="131">
        <v>60</v>
      </c>
      <c r="C18" s="132">
        <f t="shared" si="0"/>
        <v>52</v>
      </c>
      <c r="D18" s="132">
        <f t="shared" ref="D18:D46" si="1">B16</f>
        <v>55</v>
      </c>
      <c r="E18" s="132">
        <f>B15</f>
        <v>50</v>
      </c>
      <c r="F18" s="131"/>
      <c r="H18" s="177" t="s">
        <v>631</v>
      </c>
      <c r="I18" s="217">
        <f>CORREL(B18:B46,E18:E46)</f>
        <v>0.99810777070648926</v>
      </c>
      <c r="J18" s="170" t="s">
        <v>632</v>
      </c>
      <c r="K18" s="226" t="s">
        <v>628</v>
      </c>
    </row>
    <row r="19" spans="1:12" ht="90" x14ac:dyDescent="0.35">
      <c r="A19" s="108">
        <v>5</v>
      </c>
      <c r="B19" s="131">
        <v>63</v>
      </c>
      <c r="C19" s="132">
        <f t="shared" si="0"/>
        <v>60</v>
      </c>
      <c r="D19" s="132">
        <f t="shared" si="1"/>
        <v>52</v>
      </c>
      <c r="E19" s="132">
        <f t="shared" ref="E19:E46" si="2">B16</f>
        <v>55</v>
      </c>
      <c r="F19" s="132">
        <f>B15</f>
        <v>50</v>
      </c>
      <c r="H19" s="218" t="s">
        <v>633</v>
      </c>
      <c r="I19" s="219">
        <f>CORREL(B19:B46,F19:F46)</f>
        <v>0.94555064234166253</v>
      </c>
      <c r="J19" s="140" t="s">
        <v>634</v>
      </c>
      <c r="K19" s="227" t="s">
        <v>628</v>
      </c>
    </row>
    <row r="20" spans="1:12" x14ac:dyDescent="0.35">
      <c r="A20" s="108">
        <v>6</v>
      </c>
      <c r="B20" s="131">
        <v>58</v>
      </c>
      <c r="C20" s="132">
        <f t="shared" si="0"/>
        <v>63</v>
      </c>
      <c r="D20" s="132">
        <f t="shared" si="1"/>
        <v>60</v>
      </c>
      <c r="E20" s="132">
        <f t="shared" si="2"/>
        <v>52</v>
      </c>
      <c r="F20" s="132">
        <f t="shared" ref="F20:F34" si="3">B16</f>
        <v>55</v>
      </c>
    </row>
    <row r="21" spans="1:12" x14ac:dyDescent="0.35">
      <c r="A21" s="108">
        <v>7</v>
      </c>
      <c r="B21" s="131">
        <v>67</v>
      </c>
      <c r="C21" s="132">
        <f t="shared" si="0"/>
        <v>58</v>
      </c>
      <c r="D21" s="132">
        <f t="shared" si="1"/>
        <v>63</v>
      </c>
      <c r="E21" s="132">
        <f t="shared" si="2"/>
        <v>60</v>
      </c>
      <c r="F21" s="132">
        <f t="shared" si="3"/>
        <v>52</v>
      </c>
      <c r="H21" s="50" t="s">
        <v>635</v>
      </c>
    </row>
    <row r="22" spans="1:12" x14ac:dyDescent="0.35">
      <c r="A22" s="108">
        <v>8</v>
      </c>
      <c r="B22" s="131">
        <v>72</v>
      </c>
      <c r="C22" s="132">
        <f t="shared" si="0"/>
        <v>67</v>
      </c>
      <c r="D22" s="132">
        <f t="shared" si="1"/>
        <v>58</v>
      </c>
      <c r="E22" s="132">
        <f t="shared" si="2"/>
        <v>63</v>
      </c>
      <c r="F22" s="132">
        <f t="shared" si="3"/>
        <v>60</v>
      </c>
      <c r="H22" s="1" t="s">
        <v>636</v>
      </c>
    </row>
    <row r="23" spans="1:12" x14ac:dyDescent="0.35">
      <c r="A23" s="108">
        <v>9</v>
      </c>
      <c r="B23" s="131">
        <v>68</v>
      </c>
      <c r="C23" s="132">
        <f t="shared" si="0"/>
        <v>72</v>
      </c>
      <c r="D23" s="132">
        <f t="shared" si="1"/>
        <v>67</v>
      </c>
      <c r="E23" s="132">
        <f t="shared" si="2"/>
        <v>58</v>
      </c>
      <c r="F23" s="132">
        <f t="shared" si="3"/>
        <v>63</v>
      </c>
      <c r="H23" s="13" t="s">
        <v>637</v>
      </c>
    </row>
    <row r="24" spans="1:12" x14ac:dyDescent="0.35">
      <c r="A24" s="108">
        <v>10</v>
      </c>
      <c r="B24" s="131">
        <v>75</v>
      </c>
      <c r="C24" s="132">
        <f t="shared" si="0"/>
        <v>68</v>
      </c>
      <c r="D24" s="132">
        <f t="shared" si="1"/>
        <v>72</v>
      </c>
      <c r="E24" s="132">
        <f t="shared" si="2"/>
        <v>67</v>
      </c>
      <c r="F24" s="132">
        <f t="shared" si="3"/>
        <v>58</v>
      </c>
    </row>
    <row r="25" spans="1:12" x14ac:dyDescent="0.35">
      <c r="A25" s="108">
        <v>11</v>
      </c>
      <c r="B25" s="131">
        <v>80</v>
      </c>
      <c r="C25" s="132">
        <f t="shared" si="0"/>
        <v>75</v>
      </c>
      <c r="D25" s="132">
        <f t="shared" si="1"/>
        <v>68</v>
      </c>
      <c r="E25" s="132">
        <f t="shared" si="2"/>
        <v>72</v>
      </c>
      <c r="F25" s="132">
        <f t="shared" si="3"/>
        <v>67</v>
      </c>
      <c r="H25" s="211" t="s">
        <v>644</v>
      </c>
      <c r="I25" s="212"/>
      <c r="J25" s="212"/>
      <c r="K25" s="212"/>
      <c r="L25" s="212"/>
    </row>
    <row r="26" spans="1:12" ht="60" x14ac:dyDescent="0.35">
      <c r="A26" s="108">
        <v>12</v>
      </c>
      <c r="B26" s="131">
        <v>76</v>
      </c>
      <c r="C26" s="132">
        <f t="shared" si="0"/>
        <v>80</v>
      </c>
      <c r="D26" s="132">
        <f t="shared" si="1"/>
        <v>75</v>
      </c>
      <c r="E26" s="132">
        <f t="shared" si="2"/>
        <v>68</v>
      </c>
      <c r="F26" s="132">
        <f t="shared" si="3"/>
        <v>72</v>
      </c>
      <c r="H26" s="213" t="s">
        <v>620</v>
      </c>
      <c r="I26" s="223" t="s">
        <v>621</v>
      </c>
      <c r="J26" s="222" t="s">
        <v>365</v>
      </c>
      <c r="K26" s="223" t="s">
        <v>622</v>
      </c>
    </row>
    <row r="27" spans="1:12" ht="30" x14ac:dyDescent="0.35">
      <c r="A27" s="108">
        <v>13</v>
      </c>
      <c r="B27" s="131">
        <v>83</v>
      </c>
      <c r="C27" s="132">
        <f t="shared" si="0"/>
        <v>76</v>
      </c>
      <c r="D27" s="132">
        <f t="shared" si="1"/>
        <v>80</v>
      </c>
      <c r="E27" s="132">
        <f t="shared" si="2"/>
        <v>75</v>
      </c>
      <c r="F27" s="132">
        <f t="shared" si="3"/>
        <v>68</v>
      </c>
      <c r="H27" s="214" t="s">
        <v>623</v>
      </c>
      <c r="I27" s="216">
        <v>1</v>
      </c>
      <c r="J27" s="224" t="s">
        <v>645</v>
      </c>
      <c r="K27" s="225" t="s">
        <v>625</v>
      </c>
    </row>
    <row r="28" spans="1:12" ht="90" x14ac:dyDescent="0.35">
      <c r="A28" s="108">
        <v>14</v>
      </c>
      <c r="B28" s="131">
        <v>88</v>
      </c>
      <c r="C28" s="132">
        <f t="shared" si="0"/>
        <v>83</v>
      </c>
      <c r="D28" s="132">
        <f t="shared" si="1"/>
        <v>76</v>
      </c>
      <c r="E28" s="132">
        <f t="shared" si="2"/>
        <v>80</v>
      </c>
      <c r="F28" s="132">
        <f t="shared" si="3"/>
        <v>75</v>
      </c>
      <c r="H28" s="177" t="s">
        <v>626</v>
      </c>
      <c r="I28" s="221">
        <f>CORREL(B51:B72,C51:C72)</f>
        <v>-0.4921386246872464</v>
      </c>
      <c r="J28" s="80" t="s">
        <v>646</v>
      </c>
      <c r="K28" s="228" t="s">
        <v>647</v>
      </c>
    </row>
    <row r="29" spans="1:12" ht="90" x14ac:dyDescent="0.35">
      <c r="A29" s="108">
        <v>15</v>
      </c>
      <c r="B29" s="131">
        <v>85</v>
      </c>
      <c r="C29" s="132">
        <f t="shared" si="0"/>
        <v>88</v>
      </c>
      <c r="D29" s="132">
        <f t="shared" si="1"/>
        <v>83</v>
      </c>
      <c r="E29" s="132">
        <f t="shared" si="2"/>
        <v>76</v>
      </c>
      <c r="F29" s="132">
        <f t="shared" si="3"/>
        <v>80</v>
      </c>
      <c r="H29" s="218" t="s">
        <v>629</v>
      </c>
      <c r="I29" s="234">
        <f>CORREL(B52:B72,D52:D72)</f>
        <v>-0.49538431614806144</v>
      </c>
      <c r="J29" s="140" t="s">
        <v>648</v>
      </c>
      <c r="K29" s="229" t="s">
        <v>647</v>
      </c>
    </row>
    <row r="30" spans="1:12" ht="120" x14ac:dyDescent="0.35">
      <c r="A30" s="108">
        <v>16</v>
      </c>
      <c r="B30" s="131">
        <v>92</v>
      </c>
      <c r="C30" s="132">
        <f t="shared" si="0"/>
        <v>85</v>
      </c>
      <c r="D30" s="132">
        <f t="shared" si="1"/>
        <v>88</v>
      </c>
      <c r="E30" s="132">
        <f t="shared" si="2"/>
        <v>83</v>
      </c>
      <c r="F30" s="132">
        <f t="shared" si="3"/>
        <v>76</v>
      </c>
      <c r="H30" s="177" t="s">
        <v>631</v>
      </c>
      <c r="I30" s="221">
        <f>CORREL(B53:B72,E53:E72)</f>
        <v>0.97183415466666134</v>
      </c>
      <c r="J30" s="80" t="s">
        <v>649</v>
      </c>
      <c r="K30" s="228" t="s">
        <v>647</v>
      </c>
    </row>
    <row r="31" spans="1:12" ht="120" x14ac:dyDescent="0.35">
      <c r="A31" s="108">
        <v>17</v>
      </c>
      <c r="B31" s="131">
        <v>96</v>
      </c>
      <c r="C31" s="132">
        <f t="shared" si="0"/>
        <v>92</v>
      </c>
      <c r="D31" s="132">
        <f t="shared" si="1"/>
        <v>85</v>
      </c>
      <c r="E31" s="132">
        <f t="shared" si="2"/>
        <v>88</v>
      </c>
      <c r="F31" s="132">
        <f t="shared" si="3"/>
        <v>83</v>
      </c>
      <c r="H31" s="218" t="s">
        <v>633</v>
      </c>
      <c r="I31" s="234">
        <f>CORREL(B54:B72,F54:F72)</f>
        <v>-0.47440217052718986</v>
      </c>
      <c r="J31" s="140" t="s">
        <v>650</v>
      </c>
      <c r="K31" s="229" t="s">
        <v>647</v>
      </c>
    </row>
    <row r="32" spans="1:12" x14ac:dyDescent="0.35">
      <c r="A32" s="108">
        <v>18</v>
      </c>
      <c r="B32" s="131">
        <v>91</v>
      </c>
      <c r="C32" s="132">
        <f t="shared" si="0"/>
        <v>96</v>
      </c>
      <c r="D32" s="132">
        <f t="shared" si="1"/>
        <v>92</v>
      </c>
      <c r="E32" s="132">
        <f t="shared" si="2"/>
        <v>85</v>
      </c>
      <c r="F32" s="132">
        <f t="shared" si="3"/>
        <v>88</v>
      </c>
    </row>
    <row r="33" spans="1:12" x14ac:dyDescent="0.35">
      <c r="A33" s="108">
        <v>19</v>
      </c>
      <c r="B33" s="131">
        <v>100</v>
      </c>
      <c r="C33" s="132">
        <f t="shared" si="0"/>
        <v>91</v>
      </c>
      <c r="D33" s="132">
        <f t="shared" si="1"/>
        <v>96</v>
      </c>
      <c r="E33" s="132">
        <f t="shared" si="2"/>
        <v>92</v>
      </c>
      <c r="F33" s="132">
        <f t="shared" si="3"/>
        <v>85</v>
      </c>
      <c r="H33" s="149" t="s">
        <v>651</v>
      </c>
    </row>
    <row r="34" spans="1:12" x14ac:dyDescent="0.35">
      <c r="A34" s="108">
        <v>20</v>
      </c>
      <c r="B34" s="131">
        <v>105</v>
      </c>
      <c r="C34" s="132">
        <f t="shared" si="0"/>
        <v>100</v>
      </c>
      <c r="D34" s="132">
        <f t="shared" si="1"/>
        <v>91</v>
      </c>
      <c r="E34" s="132">
        <f t="shared" si="2"/>
        <v>96</v>
      </c>
      <c r="F34" s="132">
        <f t="shared" si="3"/>
        <v>92</v>
      </c>
      <c r="H34" s="1" t="s">
        <v>652</v>
      </c>
    </row>
    <row r="35" spans="1:12" x14ac:dyDescent="0.35">
      <c r="H35" s="63" t="s">
        <v>687</v>
      </c>
      <c r="I35" s="64"/>
      <c r="J35" s="64"/>
      <c r="K35" s="64"/>
    </row>
    <row r="37" spans="1:12" x14ac:dyDescent="0.35">
      <c r="H37" s="50" t="s">
        <v>688</v>
      </c>
    </row>
    <row r="38" spans="1:12" x14ac:dyDescent="0.35">
      <c r="H38" s="1" t="s">
        <v>689</v>
      </c>
    </row>
    <row r="39" spans="1:12" x14ac:dyDescent="0.35">
      <c r="H39" s="1" t="s">
        <v>690</v>
      </c>
    </row>
    <row r="40" spans="1:12" x14ac:dyDescent="0.35">
      <c r="H40" s="13" t="s">
        <v>691</v>
      </c>
    </row>
    <row r="42" spans="1:12" x14ac:dyDescent="0.35">
      <c r="H42" s="149" t="s">
        <v>692</v>
      </c>
    </row>
    <row r="43" spans="1:12" x14ac:dyDescent="0.35">
      <c r="A43" s="6">
        <v>21</v>
      </c>
      <c r="B43" s="1">
        <v>99</v>
      </c>
      <c r="C43" s="125">
        <f>B34</f>
        <v>105</v>
      </c>
      <c r="D43" s="125">
        <f>B33</f>
        <v>100</v>
      </c>
      <c r="E43" s="125">
        <f>B32</f>
        <v>91</v>
      </c>
      <c r="F43" s="125">
        <f>B31</f>
        <v>96</v>
      </c>
      <c r="H43" s="1" t="s">
        <v>693</v>
      </c>
    </row>
    <row r="44" spans="1:12" x14ac:dyDescent="0.35">
      <c r="A44" s="6">
        <v>22</v>
      </c>
      <c r="B44" s="1">
        <v>108</v>
      </c>
      <c r="C44" s="125">
        <f t="shared" si="0"/>
        <v>99</v>
      </c>
      <c r="D44" s="125">
        <f>B34</f>
        <v>105</v>
      </c>
      <c r="E44" s="125">
        <f>B33</f>
        <v>100</v>
      </c>
      <c r="F44" s="125">
        <f>B32</f>
        <v>91</v>
      </c>
      <c r="H44" s="211" t="s">
        <v>694</v>
      </c>
      <c r="I44" s="212"/>
      <c r="J44" s="212"/>
      <c r="K44" s="212"/>
      <c r="L44" s="212"/>
    </row>
    <row r="45" spans="1:12" ht="30" x14ac:dyDescent="0.35">
      <c r="A45" s="6">
        <v>23</v>
      </c>
      <c r="B45" s="1">
        <v>112</v>
      </c>
      <c r="C45" s="125">
        <f t="shared" si="0"/>
        <v>108</v>
      </c>
      <c r="D45" s="125">
        <f t="shared" si="1"/>
        <v>99</v>
      </c>
      <c r="E45" s="125">
        <f>B34</f>
        <v>105</v>
      </c>
      <c r="F45" s="125">
        <f>B33</f>
        <v>100</v>
      </c>
      <c r="H45" s="215" t="s">
        <v>653</v>
      </c>
      <c r="I45" s="213" t="s">
        <v>654</v>
      </c>
      <c r="J45" s="213" t="s">
        <v>655</v>
      </c>
      <c r="K45" s="222" t="s">
        <v>656</v>
      </c>
    </row>
    <row r="46" spans="1:12" ht="90" x14ac:dyDescent="0.35">
      <c r="A46" s="6">
        <v>24</v>
      </c>
      <c r="B46" s="1">
        <v>107</v>
      </c>
      <c r="C46" s="125">
        <f t="shared" si="0"/>
        <v>112</v>
      </c>
      <c r="D46" s="125">
        <f t="shared" si="1"/>
        <v>108</v>
      </c>
      <c r="E46" s="125">
        <f t="shared" si="2"/>
        <v>99</v>
      </c>
      <c r="F46" s="125">
        <f>B34</f>
        <v>105</v>
      </c>
      <c r="H46" s="13" t="s">
        <v>695</v>
      </c>
      <c r="I46" s="128">
        <f>AVERAGE(B15:B46)</f>
        <v>80.916666666666671</v>
      </c>
      <c r="J46" s="220">
        <f>AVERAGE(B50:B72)</f>
        <v>2.4782608695652173</v>
      </c>
      <c r="K46" s="143" t="s">
        <v>657</v>
      </c>
    </row>
    <row r="47" spans="1:12" ht="90" x14ac:dyDescent="0.35">
      <c r="H47" s="13" t="s">
        <v>696</v>
      </c>
      <c r="I47" s="128">
        <f>STDEV(B15:B46)</f>
        <v>19.135481877043681</v>
      </c>
      <c r="J47" s="220">
        <f>STDEV(B50:B72)</f>
        <v>5.3924995487620775</v>
      </c>
      <c r="K47" s="143" t="s">
        <v>658</v>
      </c>
    </row>
    <row r="48" spans="1:12" x14ac:dyDescent="0.35">
      <c r="A48" s="211" t="s">
        <v>638</v>
      </c>
      <c r="B48" s="212"/>
      <c r="C48" s="212"/>
      <c r="D48" s="212"/>
      <c r="E48" s="212"/>
      <c r="F48" s="212"/>
      <c r="H48" s="1" t="s">
        <v>697</v>
      </c>
      <c r="I48" s="125">
        <f>MIN(B15:B46)</f>
        <v>50</v>
      </c>
      <c r="J48" s="125">
        <f>MIN(B50:B72)</f>
        <v>-6</v>
      </c>
      <c r="K48" s="80"/>
    </row>
    <row r="49" spans="1:12" x14ac:dyDescent="0.35">
      <c r="A49" s="213" t="s">
        <v>613</v>
      </c>
      <c r="B49" s="213" t="s">
        <v>639</v>
      </c>
      <c r="C49" s="213" t="s">
        <v>640</v>
      </c>
      <c r="D49" s="213" t="s">
        <v>641</v>
      </c>
      <c r="E49" s="213" t="s">
        <v>642</v>
      </c>
      <c r="F49" s="213" t="s">
        <v>643</v>
      </c>
      <c r="H49" s="1" t="s">
        <v>659</v>
      </c>
      <c r="I49" s="125">
        <f>MAX(B15:B46)</f>
        <v>112</v>
      </c>
      <c r="J49" s="125">
        <f>MAX(B50:B72)</f>
        <v>9</v>
      </c>
      <c r="K49" s="80"/>
    </row>
    <row r="50" spans="1:12" ht="60" x14ac:dyDescent="0.35">
      <c r="A50" s="6">
        <f t="shared" ref="A50:A68" si="4">A16</f>
        <v>2</v>
      </c>
      <c r="B50" s="125">
        <f t="shared" ref="B50:B68" si="5">B16-B15</f>
        <v>5</v>
      </c>
      <c r="H50" s="239" t="s">
        <v>698</v>
      </c>
      <c r="I50" s="217">
        <f>I16</f>
        <v>0.95790769105503193</v>
      </c>
      <c r="J50" s="221">
        <f>I28</f>
        <v>-0.4921386246872464</v>
      </c>
      <c r="K50" s="179" t="s">
        <v>660</v>
      </c>
    </row>
    <row r="51" spans="1:12" x14ac:dyDescent="0.35">
      <c r="A51" s="6">
        <f t="shared" si="4"/>
        <v>3</v>
      </c>
      <c r="B51" s="125">
        <f t="shared" si="5"/>
        <v>-3</v>
      </c>
      <c r="C51" s="125">
        <f>B50</f>
        <v>5</v>
      </c>
      <c r="H51" s="1" t="s">
        <v>699</v>
      </c>
    </row>
    <row r="52" spans="1:12" x14ac:dyDescent="0.35">
      <c r="A52" s="6">
        <f t="shared" si="4"/>
        <v>4</v>
      </c>
      <c r="B52" s="125">
        <f t="shared" si="5"/>
        <v>8</v>
      </c>
      <c r="C52" s="125">
        <f>B51</f>
        <v>-3</v>
      </c>
      <c r="D52" s="125">
        <f>B50</f>
        <v>5</v>
      </c>
      <c r="H52" s="242" t="s">
        <v>700</v>
      </c>
      <c r="I52" s="212"/>
      <c r="J52" s="212"/>
      <c r="K52" s="212"/>
      <c r="L52" s="212"/>
    </row>
    <row r="53" spans="1:12" x14ac:dyDescent="0.35">
      <c r="A53" s="6">
        <f t="shared" si="4"/>
        <v>5</v>
      </c>
      <c r="B53" s="125">
        <f t="shared" si="5"/>
        <v>3</v>
      </c>
      <c r="C53" s="125">
        <f t="shared" ref="C53:C72" si="6">B52</f>
        <v>8</v>
      </c>
      <c r="D53" s="125">
        <f t="shared" ref="D53:D54" si="7">B51</f>
        <v>-3</v>
      </c>
      <c r="E53" s="125">
        <f>B50</f>
        <v>5</v>
      </c>
      <c r="H53" s="44" t="s">
        <v>701</v>
      </c>
    </row>
    <row r="54" spans="1:12" ht="60" x14ac:dyDescent="0.35">
      <c r="A54" s="6">
        <f t="shared" si="4"/>
        <v>6</v>
      </c>
      <c r="B54" s="125">
        <f t="shared" si="5"/>
        <v>-5</v>
      </c>
      <c r="C54" s="125">
        <f t="shared" si="6"/>
        <v>3</v>
      </c>
      <c r="D54" s="125">
        <f t="shared" si="7"/>
        <v>8</v>
      </c>
      <c r="E54" s="125">
        <f t="shared" ref="E54:E72" si="8">B51</f>
        <v>-3</v>
      </c>
      <c r="F54" s="125">
        <f>B50</f>
        <v>5</v>
      </c>
      <c r="H54" s="235" t="s">
        <v>661</v>
      </c>
      <c r="I54" s="235" t="s">
        <v>397</v>
      </c>
      <c r="J54" s="236" t="s">
        <v>622</v>
      </c>
      <c r="K54" s="235" t="s">
        <v>86</v>
      </c>
    </row>
    <row r="55" spans="1:12" ht="180" x14ac:dyDescent="0.35">
      <c r="A55" s="6">
        <f t="shared" si="4"/>
        <v>7</v>
      </c>
      <c r="B55" s="125">
        <f t="shared" si="5"/>
        <v>9</v>
      </c>
      <c r="C55" s="125">
        <f t="shared" si="6"/>
        <v>-5</v>
      </c>
      <c r="D55" s="125">
        <f>B53</f>
        <v>3</v>
      </c>
      <c r="E55" s="125">
        <f t="shared" si="8"/>
        <v>8</v>
      </c>
      <c r="F55" s="125">
        <f t="shared" ref="F55:F72" si="9">B51</f>
        <v>-3</v>
      </c>
      <c r="H55" s="237" t="s">
        <v>662</v>
      </c>
      <c r="I55" s="237" t="s">
        <v>663</v>
      </c>
      <c r="J55" s="230" t="s">
        <v>628</v>
      </c>
      <c r="K55" s="237" t="s">
        <v>664</v>
      </c>
    </row>
    <row r="56" spans="1:12" ht="210" x14ac:dyDescent="0.35">
      <c r="A56" s="6">
        <f t="shared" si="4"/>
        <v>8</v>
      </c>
      <c r="B56" s="125">
        <f t="shared" si="5"/>
        <v>5</v>
      </c>
      <c r="C56" s="125">
        <f t="shared" si="6"/>
        <v>9</v>
      </c>
      <c r="D56" s="125">
        <f>B54</f>
        <v>-5</v>
      </c>
      <c r="E56" s="125">
        <f t="shared" si="8"/>
        <v>3</v>
      </c>
      <c r="F56" s="125">
        <f t="shared" si="9"/>
        <v>8</v>
      </c>
      <c r="H56" s="167" t="s">
        <v>665</v>
      </c>
      <c r="I56" s="167" t="s">
        <v>666</v>
      </c>
      <c r="J56" s="231" t="s">
        <v>647</v>
      </c>
      <c r="K56" s="167" t="s">
        <v>667</v>
      </c>
    </row>
    <row r="57" spans="1:12" ht="150" x14ac:dyDescent="0.35">
      <c r="A57" s="6">
        <f t="shared" si="4"/>
        <v>9</v>
      </c>
      <c r="B57" s="125">
        <f t="shared" si="5"/>
        <v>-4</v>
      </c>
      <c r="C57" s="125">
        <f t="shared" si="6"/>
        <v>5</v>
      </c>
      <c r="D57" s="125">
        <f t="shared" ref="D57" si="10">B55</f>
        <v>9</v>
      </c>
      <c r="E57" s="125">
        <f t="shared" si="8"/>
        <v>-5</v>
      </c>
      <c r="F57" s="125">
        <f t="shared" si="9"/>
        <v>3</v>
      </c>
      <c r="H57" s="238" t="s">
        <v>668</v>
      </c>
      <c r="I57" s="238" t="s">
        <v>669</v>
      </c>
      <c r="J57" s="232" t="s">
        <v>628</v>
      </c>
      <c r="K57" s="238" t="s">
        <v>670</v>
      </c>
    </row>
    <row r="58" spans="1:12" ht="150" x14ac:dyDescent="0.35">
      <c r="A58" s="6">
        <f t="shared" si="4"/>
        <v>10</v>
      </c>
      <c r="B58" s="125">
        <f t="shared" si="5"/>
        <v>7</v>
      </c>
      <c r="C58" s="125">
        <f t="shared" si="6"/>
        <v>-4</v>
      </c>
      <c r="D58" s="125">
        <f>B56</f>
        <v>5</v>
      </c>
      <c r="E58" s="125">
        <f t="shared" si="8"/>
        <v>9</v>
      </c>
      <c r="F58" s="125">
        <f t="shared" si="9"/>
        <v>-5</v>
      </c>
      <c r="H58" s="79" t="s">
        <v>671</v>
      </c>
      <c r="I58" s="79" t="s">
        <v>672</v>
      </c>
      <c r="J58" s="233" t="s">
        <v>673</v>
      </c>
      <c r="K58" s="79" t="s">
        <v>674</v>
      </c>
    </row>
    <row r="59" spans="1:12" ht="120" x14ac:dyDescent="0.35">
      <c r="A59" s="6">
        <f t="shared" si="4"/>
        <v>11</v>
      </c>
      <c r="B59" s="125">
        <f t="shared" si="5"/>
        <v>5</v>
      </c>
      <c r="C59" s="125">
        <f t="shared" si="6"/>
        <v>7</v>
      </c>
      <c r="D59" s="125">
        <f>B57</f>
        <v>-4</v>
      </c>
      <c r="E59" s="125">
        <f t="shared" si="8"/>
        <v>5</v>
      </c>
      <c r="F59" s="125">
        <f t="shared" si="9"/>
        <v>9</v>
      </c>
      <c r="H59" s="140" t="s">
        <v>675</v>
      </c>
      <c r="I59" s="140" t="s">
        <v>676</v>
      </c>
      <c r="J59" s="229" t="s">
        <v>647</v>
      </c>
      <c r="K59" s="140" t="s">
        <v>677</v>
      </c>
    </row>
    <row r="60" spans="1:12" x14ac:dyDescent="0.35">
      <c r="A60" s="6">
        <f t="shared" si="4"/>
        <v>12</v>
      </c>
      <c r="B60" s="125">
        <f t="shared" si="5"/>
        <v>-4</v>
      </c>
      <c r="C60" s="125">
        <f t="shared" si="6"/>
        <v>5</v>
      </c>
      <c r="D60" s="125">
        <f t="shared" ref="D60" si="11">B58</f>
        <v>7</v>
      </c>
      <c r="E60" s="125">
        <f t="shared" si="8"/>
        <v>-4</v>
      </c>
      <c r="F60" s="125">
        <f t="shared" si="9"/>
        <v>5</v>
      </c>
    </row>
    <row r="61" spans="1:12" x14ac:dyDescent="0.35">
      <c r="A61" s="6">
        <f t="shared" si="4"/>
        <v>13</v>
      </c>
      <c r="B61" s="125">
        <f t="shared" si="5"/>
        <v>7</v>
      </c>
      <c r="C61" s="125">
        <f t="shared" si="6"/>
        <v>-4</v>
      </c>
      <c r="D61" s="125">
        <f t="shared" ref="D61:D72" si="12">B59</f>
        <v>5</v>
      </c>
      <c r="E61" s="125">
        <f t="shared" si="8"/>
        <v>7</v>
      </c>
      <c r="F61" s="125">
        <f t="shared" si="9"/>
        <v>-4</v>
      </c>
      <c r="H61" s="239" t="s">
        <v>678</v>
      </c>
    </row>
    <row r="62" spans="1:12" x14ac:dyDescent="0.35">
      <c r="A62" s="6">
        <f t="shared" si="4"/>
        <v>14</v>
      </c>
      <c r="B62" s="125">
        <f t="shared" si="5"/>
        <v>5</v>
      </c>
      <c r="C62" s="125">
        <f t="shared" si="6"/>
        <v>7</v>
      </c>
      <c r="D62" s="125">
        <f t="shared" si="12"/>
        <v>-4</v>
      </c>
      <c r="E62" s="125">
        <f t="shared" si="8"/>
        <v>5</v>
      </c>
      <c r="F62" s="125">
        <f t="shared" si="9"/>
        <v>7</v>
      </c>
      <c r="H62" s="1" t="s">
        <v>679</v>
      </c>
    </row>
    <row r="63" spans="1:12" x14ac:dyDescent="0.35">
      <c r="A63" s="6">
        <f t="shared" si="4"/>
        <v>15</v>
      </c>
      <c r="B63" s="125">
        <f t="shared" si="5"/>
        <v>-3</v>
      </c>
      <c r="C63" s="125">
        <f t="shared" si="6"/>
        <v>5</v>
      </c>
      <c r="D63" s="125">
        <f t="shared" si="12"/>
        <v>7</v>
      </c>
      <c r="E63" s="125">
        <f t="shared" si="8"/>
        <v>-4</v>
      </c>
      <c r="F63" s="125">
        <f t="shared" si="9"/>
        <v>5</v>
      </c>
      <c r="H63" s="1" t="s">
        <v>680</v>
      </c>
    </row>
    <row r="64" spans="1:12" x14ac:dyDescent="0.35">
      <c r="A64" s="6">
        <f t="shared" si="4"/>
        <v>16</v>
      </c>
      <c r="B64" s="125">
        <f t="shared" si="5"/>
        <v>7</v>
      </c>
      <c r="C64" s="125">
        <f t="shared" si="6"/>
        <v>-3</v>
      </c>
      <c r="D64" s="125">
        <f t="shared" si="12"/>
        <v>5</v>
      </c>
      <c r="E64" s="125">
        <f t="shared" si="8"/>
        <v>7</v>
      </c>
      <c r="F64" s="125">
        <f t="shared" si="9"/>
        <v>-4</v>
      </c>
      <c r="H64" s="1" t="s">
        <v>681</v>
      </c>
    </row>
    <row r="65" spans="1:10" x14ac:dyDescent="0.35">
      <c r="A65" s="6">
        <f t="shared" si="4"/>
        <v>17</v>
      </c>
      <c r="B65" s="125">
        <f t="shared" si="5"/>
        <v>4</v>
      </c>
      <c r="C65" s="125">
        <f t="shared" si="6"/>
        <v>7</v>
      </c>
      <c r="D65" s="125">
        <f t="shared" si="12"/>
        <v>-3</v>
      </c>
      <c r="E65" s="125">
        <f t="shared" si="8"/>
        <v>5</v>
      </c>
      <c r="F65" s="125">
        <f t="shared" si="9"/>
        <v>7</v>
      </c>
      <c r="H65" s="13" t="s">
        <v>682</v>
      </c>
    </row>
    <row r="66" spans="1:10" x14ac:dyDescent="0.35">
      <c r="A66" s="6">
        <f t="shared" si="4"/>
        <v>18</v>
      </c>
      <c r="B66" s="125">
        <f t="shared" si="5"/>
        <v>-5</v>
      </c>
      <c r="C66" s="125">
        <f t="shared" si="6"/>
        <v>4</v>
      </c>
      <c r="D66" s="125">
        <f t="shared" si="12"/>
        <v>7</v>
      </c>
      <c r="E66" s="125">
        <f t="shared" si="8"/>
        <v>-3</v>
      </c>
      <c r="F66" s="125">
        <f t="shared" si="9"/>
        <v>5</v>
      </c>
    </row>
    <row r="67" spans="1:10" x14ac:dyDescent="0.35">
      <c r="A67" s="6">
        <f t="shared" si="4"/>
        <v>19</v>
      </c>
      <c r="B67" s="125">
        <f t="shared" si="5"/>
        <v>9</v>
      </c>
      <c r="C67" s="125">
        <f t="shared" si="6"/>
        <v>-5</v>
      </c>
      <c r="D67" s="125">
        <f t="shared" si="12"/>
        <v>4</v>
      </c>
      <c r="E67" s="125">
        <f t="shared" si="8"/>
        <v>7</v>
      </c>
      <c r="F67" s="125">
        <f t="shared" si="9"/>
        <v>-3</v>
      </c>
      <c r="H67" s="13" t="s">
        <v>683</v>
      </c>
      <c r="I67" s="240">
        <f>2/SQRT(COUNT(B15:B46))</f>
        <v>0.40824829046386307</v>
      </c>
      <c r="J67" s="44" t="s">
        <v>684</v>
      </c>
    </row>
    <row r="68" spans="1:10" x14ac:dyDescent="0.35">
      <c r="A68" s="6">
        <f t="shared" si="4"/>
        <v>20</v>
      </c>
      <c r="B68" s="125">
        <f t="shared" si="5"/>
        <v>5</v>
      </c>
      <c r="C68" s="125">
        <f t="shared" si="6"/>
        <v>9</v>
      </c>
      <c r="D68" s="125">
        <f t="shared" si="12"/>
        <v>-5</v>
      </c>
      <c r="E68" s="125">
        <f t="shared" si="8"/>
        <v>4</v>
      </c>
      <c r="F68" s="125">
        <f t="shared" si="9"/>
        <v>7</v>
      </c>
    </row>
    <row r="69" spans="1:10" x14ac:dyDescent="0.35">
      <c r="A69" s="6">
        <f t="shared" ref="A69:A72" si="13">A43</f>
        <v>21</v>
      </c>
      <c r="B69" s="125">
        <f>B43-B34</f>
        <v>-6</v>
      </c>
      <c r="C69" s="125">
        <f t="shared" si="6"/>
        <v>5</v>
      </c>
      <c r="D69" s="125">
        <f t="shared" si="12"/>
        <v>9</v>
      </c>
      <c r="E69" s="125">
        <f t="shared" si="8"/>
        <v>-5</v>
      </c>
      <c r="F69" s="125">
        <f t="shared" si="9"/>
        <v>4</v>
      </c>
    </row>
    <row r="70" spans="1:10" x14ac:dyDescent="0.35">
      <c r="A70" s="6">
        <f t="shared" si="13"/>
        <v>22</v>
      </c>
      <c r="B70" s="125">
        <f t="shared" ref="B70:B72" si="14">B44-B43</f>
        <v>9</v>
      </c>
      <c r="C70" s="125">
        <f t="shared" si="6"/>
        <v>-6</v>
      </c>
      <c r="D70" s="125">
        <f t="shared" si="12"/>
        <v>5</v>
      </c>
      <c r="E70" s="125">
        <f t="shared" si="8"/>
        <v>9</v>
      </c>
      <c r="F70" s="125">
        <f t="shared" si="9"/>
        <v>-5</v>
      </c>
    </row>
    <row r="71" spans="1:10" x14ac:dyDescent="0.35">
      <c r="A71" s="6">
        <f t="shared" si="13"/>
        <v>23</v>
      </c>
      <c r="B71" s="125">
        <f t="shared" si="14"/>
        <v>4</v>
      </c>
      <c r="C71" s="125">
        <f t="shared" si="6"/>
        <v>9</v>
      </c>
      <c r="D71" s="125">
        <f t="shared" si="12"/>
        <v>-6</v>
      </c>
      <c r="E71" s="125">
        <f t="shared" si="8"/>
        <v>5</v>
      </c>
      <c r="F71" s="125">
        <f t="shared" si="9"/>
        <v>9</v>
      </c>
    </row>
    <row r="72" spans="1:10" x14ac:dyDescent="0.35">
      <c r="A72" s="6">
        <f t="shared" si="13"/>
        <v>24</v>
      </c>
      <c r="B72" s="125">
        <f t="shared" si="14"/>
        <v>-5</v>
      </c>
      <c r="C72" s="125">
        <f t="shared" si="6"/>
        <v>4</v>
      </c>
      <c r="D72" s="125">
        <f t="shared" si="12"/>
        <v>9</v>
      </c>
      <c r="E72" s="125">
        <f t="shared" si="8"/>
        <v>-6</v>
      </c>
      <c r="F72" s="125">
        <f t="shared" si="9"/>
        <v>5</v>
      </c>
    </row>
    <row r="92" spans="1:1" x14ac:dyDescent="0.35">
      <c r="A92" s="241" t="s">
        <v>102</v>
      </c>
    </row>
  </sheetData>
  <mergeCells count="2">
    <mergeCell ref="A1:F1"/>
    <mergeCell ref="A2:F2"/>
  </mergeCells>
  <hyperlinks>
    <hyperlink ref="A92" location="'TOC'!A1" display="← Back to Table of Contents" xr:uid="{4C26A0B1-1F85-3248-AF7B-0C38E0E1C9A1}"/>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C608-7AB7-D844-A2B8-B58A84AC5A8F}">
  <dimension ref="B3:H27"/>
  <sheetViews>
    <sheetView topLeftCell="A8" workbookViewId="0">
      <selection activeCell="F15" sqref="F15"/>
    </sheetView>
  </sheetViews>
  <sheetFormatPr baseColWidth="10" defaultRowHeight="29" x14ac:dyDescent="0.35"/>
  <cols>
    <col min="1" max="1" width="10.83203125" style="244"/>
    <col min="2" max="2" width="23.83203125" style="244" customWidth="1"/>
    <col min="3" max="3" width="23.6640625" style="244" customWidth="1"/>
    <col min="4" max="4" width="22.83203125" style="244" customWidth="1"/>
    <col min="5" max="5" width="21" style="244" customWidth="1"/>
    <col min="6" max="6" width="24" style="244" customWidth="1"/>
    <col min="7" max="7" width="15.83203125" style="244" bestFit="1" customWidth="1"/>
    <col min="8" max="8" width="17.83203125" style="244" customWidth="1"/>
    <col min="9" max="16384" width="10.83203125" style="244"/>
  </cols>
  <sheetData>
    <row r="3" spans="2:8" x14ac:dyDescent="0.35">
      <c r="B3" s="243"/>
      <c r="C3" s="243"/>
      <c r="D3" s="243"/>
      <c r="E3" s="243"/>
      <c r="F3" s="243"/>
      <c r="G3" s="243"/>
      <c r="H3" s="243"/>
    </row>
    <row r="4" spans="2:8" x14ac:dyDescent="0.35">
      <c r="B4" s="243" t="s">
        <v>702</v>
      </c>
      <c r="C4" s="243" t="s">
        <v>703</v>
      </c>
      <c r="D4" s="243"/>
      <c r="E4" s="243"/>
      <c r="F4" s="35" t="s">
        <v>111</v>
      </c>
      <c r="G4" s="36"/>
      <c r="H4" s="36"/>
    </row>
    <row r="5" spans="2:8" x14ac:dyDescent="0.35">
      <c r="B5" s="243" t="s">
        <v>704</v>
      </c>
      <c r="C5" s="245">
        <v>45757</v>
      </c>
      <c r="D5" s="243"/>
      <c r="E5" s="243"/>
      <c r="F5" s="37" t="s">
        <v>24</v>
      </c>
      <c r="G5" s="37" t="s">
        <v>112</v>
      </c>
      <c r="H5" s="37" t="s">
        <v>113</v>
      </c>
    </row>
    <row r="6" spans="2:8" ht="31" x14ac:dyDescent="0.4">
      <c r="B6" s="243" t="s">
        <v>705</v>
      </c>
      <c r="C6" s="245">
        <v>46122</v>
      </c>
      <c r="D6" s="243"/>
      <c r="E6" s="243"/>
      <c r="F6" s="1" t="s">
        <v>114</v>
      </c>
      <c r="G6" s="27" t="s">
        <v>115</v>
      </c>
      <c r="H6" s="39">
        <v>26.495939855476006</v>
      </c>
    </row>
    <row r="7" spans="2:8" ht="31" x14ac:dyDescent="0.4">
      <c r="B7" s="243" t="s">
        <v>706</v>
      </c>
      <c r="C7" s="243">
        <v>2</v>
      </c>
      <c r="D7" s="243"/>
      <c r="E7" s="243"/>
      <c r="F7" s="1" t="s">
        <v>116</v>
      </c>
      <c r="G7" s="27" t="s">
        <v>117</v>
      </c>
      <c r="H7" s="40">
        <v>9.4640930294204575E-2</v>
      </c>
    </row>
    <row r="8" spans="2:8" ht="31" x14ac:dyDescent="0.4">
      <c r="F8" s="1" t="s">
        <v>118</v>
      </c>
      <c r="G8" s="27" t="s">
        <v>119</v>
      </c>
      <c r="H8" s="40">
        <v>-1</v>
      </c>
    </row>
    <row r="9" spans="2:8" ht="31" x14ac:dyDescent="0.4">
      <c r="F9" s="1" t="s">
        <v>708</v>
      </c>
      <c r="G9" s="247">
        <f ca="1">SUM(G12:G23)</f>
        <v>47210.052113373051</v>
      </c>
      <c r="H9" s="40"/>
    </row>
    <row r="10" spans="2:8" ht="60" x14ac:dyDescent="0.35">
      <c r="B10" s="246" t="str" cm="1">
        <f t="array" aca="1" ref="B10:C23" ca="1">_xlfn.STOCKHISTORY(C4,C5,C6,2)</f>
        <v>Date</v>
      </c>
      <c r="C10" s="246" t="str">
        <f ca="1"/>
        <v>Close</v>
      </c>
      <c r="D10" s="172" t="s">
        <v>108</v>
      </c>
      <c r="E10" s="172" t="s">
        <v>109</v>
      </c>
      <c r="F10" s="172" t="s">
        <v>110</v>
      </c>
      <c r="G10" s="246" t="s">
        <v>707</v>
      </c>
      <c r="H10" s="246"/>
    </row>
    <row r="11" spans="2:8" x14ac:dyDescent="0.35">
      <c r="B11" s="246" vm="1">
        <f ca="1"/>
        <v>45748</v>
      </c>
      <c r="C11" s="246" vm="2">
        <f ca="1"/>
        <v>788.65</v>
      </c>
      <c r="D11" s="246"/>
      <c r="E11" s="246"/>
      <c r="F11" s="246"/>
      <c r="G11" s="246"/>
      <c r="H11" s="246"/>
    </row>
    <row r="12" spans="2:8" x14ac:dyDescent="0.35">
      <c r="B12" s="246" vm="3">
        <f ca="1"/>
        <v>45778</v>
      </c>
      <c r="C12" s="246" vm="4">
        <f ca="1"/>
        <v>812.3</v>
      </c>
      <c r="D12" s="246">
        <f ca="1">C12-C11</f>
        <v>23.649999999999977</v>
      </c>
      <c r="E12" s="246" vm="2">
        <f ca="1">C11</f>
        <v>788.65</v>
      </c>
      <c r="F12" s="246">
        <f ca="1">C12-E12</f>
        <v>23.649999999999977</v>
      </c>
      <c r="G12" s="246">
        <f ca="1">F12^2</f>
        <v>559.32249999999897</v>
      </c>
      <c r="H12" s="246"/>
    </row>
    <row r="13" spans="2:8" x14ac:dyDescent="0.35">
      <c r="B13" s="246" vm="5">
        <f ca="1"/>
        <v>45809</v>
      </c>
      <c r="C13" s="246" vm="6">
        <f ca="1"/>
        <v>820.35</v>
      </c>
      <c r="D13" s="246">
        <f t="shared" ref="D13:D27" ca="1" si="0">C13-C12</f>
        <v>8.0500000000000682</v>
      </c>
      <c r="E13" s="246">
        <f ca="1">C12+($H$6+$H$7*D12+$H$8*F12)</f>
        <v>817.38419785693395</v>
      </c>
      <c r="F13" s="246">
        <f ca="1">C13-E13</f>
        <v>2.965802143066071</v>
      </c>
      <c r="G13" s="246">
        <f t="shared" ref="G13:G23" ca="1" si="1">F13^2</f>
        <v>8.7959823518152991</v>
      </c>
      <c r="H13" s="246"/>
    </row>
    <row r="14" spans="2:8" x14ac:dyDescent="0.35">
      <c r="B14" s="246" vm="7">
        <f ca="1"/>
        <v>45839</v>
      </c>
      <c r="C14" s="246" vm="8">
        <f ca="1"/>
        <v>796.55</v>
      </c>
      <c r="D14" s="246">
        <f t="shared" ca="1" si="0"/>
        <v>-23.800000000000068</v>
      </c>
      <c r="E14" s="246">
        <f t="shared" ref="E14:E23" ca="1" si="2">C13+($H$6+$H$7*D13+$H$8*F13)</f>
        <v>844.64199720127829</v>
      </c>
      <c r="F14" s="246">
        <f t="shared" ref="F14:F23" ca="1" si="3">C14-E14</f>
        <v>-48.091997201278332</v>
      </c>
      <c r="G14" s="246">
        <f t="shared" ca="1" si="1"/>
        <v>2312.8401948077631</v>
      </c>
      <c r="H14" s="246"/>
    </row>
    <row r="15" spans="2:8" x14ac:dyDescent="0.35">
      <c r="B15" s="246" vm="9">
        <f ca="1"/>
        <v>45870</v>
      </c>
      <c r="C15" s="246" vm="10">
        <f ca="1"/>
        <v>802.5</v>
      </c>
      <c r="D15" s="246">
        <f t="shared" ca="1" si="0"/>
        <v>5.9500000000000455</v>
      </c>
      <c r="E15" s="246">
        <f t="shared" ca="1" si="2"/>
        <v>868.88548291575216</v>
      </c>
      <c r="F15" s="246">
        <f t="shared" ca="1" si="3"/>
        <v>-66.385482915752164</v>
      </c>
      <c r="G15" s="246">
        <f t="shared" ca="1" si="1"/>
        <v>4407.0323419576225</v>
      </c>
      <c r="H15" s="246"/>
    </row>
    <row r="16" spans="2:8" x14ac:dyDescent="0.35">
      <c r="B16" s="246" vm="11">
        <f ca="1"/>
        <v>45901</v>
      </c>
      <c r="C16" s="246" vm="12">
        <f ca="1"/>
        <v>872.45</v>
      </c>
      <c r="D16" s="246">
        <f t="shared" ca="1" si="0"/>
        <v>69.950000000000045</v>
      </c>
      <c r="E16" s="246">
        <f t="shared" ca="1" si="2"/>
        <v>895.94453630647865</v>
      </c>
      <c r="F16" s="246">
        <f t="shared" ca="1" si="3"/>
        <v>-23.494536306478608</v>
      </c>
      <c r="G16" s="246">
        <f t="shared" ca="1" si="1"/>
        <v>551.99323625644149</v>
      </c>
      <c r="H16" s="246"/>
    </row>
    <row r="17" spans="2:8" x14ac:dyDescent="0.35">
      <c r="B17" s="246" vm="13">
        <f ca="1"/>
        <v>45931</v>
      </c>
      <c r="C17" s="246" vm="14">
        <f ca="1"/>
        <v>937</v>
      </c>
      <c r="D17" s="246">
        <f t="shared" ca="1" si="0"/>
        <v>64.549999999999955</v>
      </c>
      <c r="E17" s="246">
        <f t="shared" ca="1" si="2"/>
        <v>929.06060923603422</v>
      </c>
      <c r="F17" s="246">
        <f t="shared" ca="1" si="3"/>
        <v>7.9393907639657755</v>
      </c>
      <c r="G17" s="246">
        <f t="shared" ca="1" si="1"/>
        <v>63.033925702945062</v>
      </c>
      <c r="H17" s="246"/>
    </row>
    <row r="18" spans="2:8" x14ac:dyDescent="0.35">
      <c r="B18" s="246" vm="15">
        <f ca="1"/>
        <v>45962</v>
      </c>
      <c r="C18" s="246" vm="16">
        <f ca="1"/>
        <v>979</v>
      </c>
      <c r="D18" s="246">
        <f t="shared" ca="1" si="0"/>
        <v>42</v>
      </c>
      <c r="E18" s="246">
        <f t="shared" ca="1" si="2"/>
        <v>961.6656211420011</v>
      </c>
      <c r="F18" s="246">
        <f t="shared" ca="1" si="3"/>
        <v>17.3343788579989</v>
      </c>
      <c r="G18" s="246">
        <f t="shared" ca="1" si="1"/>
        <v>300.48069039263925</v>
      </c>
      <c r="H18" s="246"/>
    </row>
    <row r="19" spans="2:8" x14ac:dyDescent="0.35">
      <c r="B19" s="246" vm="17">
        <f ca="1"/>
        <v>45992</v>
      </c>
      <c r="C19" s="246" vm="18">
        <f ca="1"/>
        <v>982.2</v>
      </c>
      <c r="D19" s="246">
        <f t="shared" ca="1" si="0"/>
        <v>3.2000000000000455</v>
      </c>
      <c r="E19" s="246">
        <f t="shared" ca="1" si="2"/>
        <v>992.13648006983374</v>
      </c>
      <c r="F19" s="246">
        <f t="shared" ca="1" si="3"/>
        <v>-9.9364800698336921</v>
      </c>
      <c r="G19" s="246">
        <f t="shared" ca="1" si="1"/>
        <v>98.733636178202175</v>
      </c>
      <c r="H19" s="246"/>
    </row>
    <row r="20" spans="2:8" x14ac:dyDescent="0.35">
      <c r="B20" s="246" vm="19">
        <f ca="1"/>
        <v>46023</v>
      </c>
      <c r="C20" s="246" vm="20">
        <f ca="1"/>
        <v>1077.1500000000001</v>
      </c>
      <c r="D20" s="246">
        <f t="shared" ca="1" si="0"/>
        <v>94.950000000000045</v>
      </c>
      <c r="E20" s="246">
        <f t="shared" ca="1" si="2"/>
        <v>1018.9352709022512</v>
      </c>
      <c r="F20" s="246">
        <f t="shared" ca="1" si="3"/>
        <v>58.214729097748886</v>
      </c>
      <c r="G20" s="246">
        <f t="shared" ca="1" si="1"/>
        <v>3388.9546839242907</v>
      </c>
      <c r="H20" s="246"/>
    </row>
    <row r="21" spans="2:8" x14ac:dyDescent="0.35">
      <c r="B21" s="246" vm="21">
        <f ca="1"/>
        <v>46054</v>
      </c>
      <c r="C21" s="246" vm="22">
        <f ca="1"/>
        <v>1201.7</v>
      </c>
      <c r="D21" s="246">
        <f t="shared" ca="1" si="0"/>
        <v>124.54999999999995</v>
      </c>
      <c r="E21" s="246">
        <f t="shared" ca="1" si="2"/>
        <v>1054.4173670891619</v>
      </c>
      <c r="F21" s="246">
        <f t="shared" ca="1" si="3"/>
        <v>147.28263291083817</v>
      </c>
      <c r="G21" s="246">
        <f t="shared" ca="1" si="1"/>
        <v>21692.173957148712</v>
      </c>
      <c r="H21" s="246"/>
    </row>
    <row r="22" spans="2:8" x14ac:dyDescent="0.35">
      <c r="B22" s="246" vm="23">
        <f ca="1"/>
        <v>46082</v>
      </c>
      <c r="C22" s="246" vm="24">
        <f ca="1"/>
        <v>979.4</v>
      </c>
      <c r="D22" s="246">
        <f t="shared" ca="1" si="0"/>
        <v>-222.30000000000007</v>
      </c>
      <c r="E22" s="246">
        <f t="shared" ca="1" si="2"/>
        <v>1092.7008348127811</v>
      </c>
      <c r="F22" s="246">
        <f t="shared" ca="1" si="3"/>
        <v>-113.30083481278109</v>
      </c>
      <c r="G22" s="246">
        <f t="shared" ca="1" si="1"/>
        <v>12837.079169273107</v>
      </c>
      <c r="H22" s="246"/>
    </row>
    <row r="23" spans="2:8" x14ac:dyDescent="0.35">
      <c r="B23" s="246" vm="25">
        <f ca="1"/>
        <v>46113</v>
      </c>
      <c r="C23" s="246" vm="26">
        <f ca="1"/>
        <v>1066.7</v>
      </c>
      <c r="D23" s="246">
        <f t="shared" ca="1" si="0"/>
        <v>87.300000000000068</v>
      </c>
      <c r="E23" s="246">
        <f t="shared" ca="1" si="2"/>
        <v>1098.1580958638554</v>
      </c>
      <c r="F23" s="246">
        <f t="shared" ca="1" si="3"/>
        <v>-31.458095863855306</v>
      </c>
      <c r="G23" s="246">
        <f t="shared" ca="1" si="1"/>
        <v>989.61179537951034</v>
      </c>
      <c r="H23" s="246"/>
    </row>
    <row r="24" spans="2:8" x14ac:dyDescent="0.35">
      <c r="B24" s="249">
        <v>46143</v>
      </c>
      <c r="C24" s="250">
        <f ca="1">C23+($H$6+$H$7*D23+$H$8*F23)</f>
        <v>1132.9161889340155</v>
      </c>
      <c r="D24" s="250">
        <f ca="1">C24-C23</f>
        <v>66.216188934015463</v>
      </c>
      <c r="E24" s="246"/>
      <c r="F24" s="246">
        <v>0</v>
      </c>
      <c r="G24" s="246"/>
    </row>
    <row r="25" spans="2:8" x14ac:dyDescent="0.35">
      <c r="B25" s="249">
        <v>46174</v>
      </c>
      <c r="C25" s="250">
        <f ca="1">C24+($H$6+$H$7*D24+$H$8*F24)</f>
        <v>1165.6788905107435</v>
      </c>
      <c r="D25" s="250">
        <f ca="1">C25-C24</f>
        <v>32.762701576727977</v>
      </c>
      <c r="E25" s="246"/>
      <c r="F25" s="246">
        <v>0</v>
      </c>
      <c r="G25" s="246"/>
    </row>
    <row r="26" spans="2:8" x14ac:dyDescent="0.35">
      <c r="B26" s="249">
        <v>46204</v>
      </c>
      <c r="C26" s="250">
        <f ca="1">C25+($H$6+$H$7*D25+$H$8*F25)</f>
        <v>1195.2755229223924</v>
      </c>
      <c r="D26" s="250">
        <f t="shared" ca="1" si="0"/>
        <v>29.596632411648898</v>
      </c>
      <c r="E26" s="246"/>
      <c r="F26" s="246">
        <v>0</v>
      </c>
      <c r="G26" s="246"/>
    </row>
    <row r="27" spans="2:8" x14ac:dyDescent="0.35">
      <c r="B27" s="249">
        <v>46235</v>
      </c>
      <c r="C27" s="250">
        <f ca="1">C26+($H$6+$H$7*D26+$H$8*F26)</f>
        <v>1224.5725156028825</v>
      </c>
      <c r="D27" s="250">
        <f t="shared" ca="1" si="0"/>
        <v>29.296992680490121</v>
      </c>
      <c r="E27" s="246"/>
      <c r="F27" s="246">
        <v>0</v>
      </c>
      <c r="G27" s="24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TOC</vt:lpstr>
      <vt:lpstr>ARIMA Basics</vt:lpstr>
      <vt:lpstr>Illustration 1</vt:lpstr>
      <vt:lpstr>Illustration 2</vt:lpstr>
      <vt:lpstr>Illustration 3</vt:lpstr>
      <vt:lpstr>Limitations</vt:lpstr>
      <vt:lpstr>Q&amp;A</vt:lpstr>
      <vt:lpstr>Case Study 1</vt:lpstr>
      <vt:lpstr>Case Study 2</vt:lpstr>
      <vt:lpstr>Solver Demo</vt:lpstr>
      <vt:lpstr>Stationarity Check</vt:lpstr>
      <vt:lpstr>Forecsting StockPrices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Ravichandran Vaidyanathan</dc:creator>
  <cp:lastModifiedBy>Ravichandran Vaidyanathan</cp:lastModifiedBy>
  <dcterms:created xsi:type="dcterms:W3CDTF">2026-04-10T09:38:25Z</dcterms:created>
  <dcterms:modified xsi:type="dcterms:W3CDTF">2026-04-10T20:21:31Z</dcterms:modified>
</cp:coreProperties>
</file>